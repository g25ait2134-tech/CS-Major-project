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liverables" sheetId="2" state="visible" r:id="rId4"/>
    <sheet name="By Owner" sheetId="3" state="visible" r:id="rId5"/>
    <sheet name="Milestones" sheetId="4" state="visible" r:id="rId6"/>
  </sheets>
  <definedNames>
    <definedName function="false" hidden="true" localSheetId="1" name="_xlnm._FilterDatabase" vbProcedure="false">Deliverables!$A$1:$K$29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<sst xmlns="http://schemas.openxmlformats.org/spreadsheetml/2006/main" count="365" uniqueCount="214">
  <si>
    <t xml:space="preserve">Class-Group Arithmetic Optimization - Deliverables Tracker</t>
  </si>
  <si>
    <t xml:space="preserve">Project</t>
  </si>
  <si>
    <t xml:space="preserve">Practical improvement of Trout (ACM CCS 2025 / ePrint 2025/1666)</t>
  </si>
  <si>
    <t xml:space="preserve">Improvement</t>
  </si>
  <si>
    <t xml:space="preserve">Optimize class-group composition/squaring: schoolbook baseline vs NUCOMP/NUDUPL, with benchmarks</t>
  </si>
  <si>
    <t xml:space="preserve">Why it matters</t>
  </si>
  <si>
    <t xml:space="preserve">Composition is the dominant cost underneath the whole protocol</t>
  </si>
  <si>
    <t xml:space="preserve">Course</t>
  </si>
  <si>
    <t xml:space="preserve">Cybersecurity coursework</t>
  </si>
  <si>
    <t xml:space="preserve">Team size</t>
  </si>
  <si>
    <t xml:space="preserve">6 - all developing in Java</t>
  </si>
  <si>
    <t xml:space="preserve">Stack</t>
  </si>
  <si>
    <t xml:space="preserve">Java 17+, Maven/Gradle multi-module, JUnit 5, JMH (Java Microbenchmark Harness)</t>
  </si>
  <si>
    <t xml:space="preserve">How to use</t>
  </si>
  <si>
    <t xml:space="preserve">Owners update Status + % Complete. Filter by Owner for individual task lists.</t>
  </si>
  <si>
    <t xml:space="preserve">Status values</t>
  </si>
  <si>
    <t xml:space="preserve">Not Started / In Progress / Blocked / In Review / Done</t>
  </si>
  <si>
    <t xml:space="preserve">Phase legend</t>
  </si>
  <si>
    <t xml:space="preserve">P1 = MVP baseline+correctness (green).  P2 = the optimization &amp; benchmark (orange = stretch/bonus rows).</t>
  </si>
  <si>
    <t xml:space="preserve">Correctness rule</t>
  </si>
  <si>
    <t xml:space="preserve">Optimized path must equal the baseline reduced form on all inputs (differential oracle).</t>
  </si>
  <si>
    <t xml:space="preserve">Benchmark rule</t>
  </si>
  <si>
    <t xml:space="preserve">Use JMH, not System.nanoTime - JVM warmup/JIT make naive timing misleading.</t>
  </si>
  <si>
    <t xml:space="preserve">Honesty caveat</t>
  </si>
  <si>
    <t xml:space="preserve">Mature class-group libs already use NUCOMP; frame the contribution as a controlled Java before/after measurement, not 'paper didn't optimize'.</t>
  </si>
  <si>
    <t xml:space="preserve">Owners (Maven module)</t>
  </si>
  <si>
    <t xml:space="preserve">Person A</t>
  </si>
  <si>
    <t xml:space="preserve">cg-core - Bqf type, partial-GCD primitive, generators (critical-path feeder)</t>
  </si>
  <si>
    <t xml:space="preserve">Person B</t>
  </si>
  <si>
    <t xml:space="preserve">cg-baseline - schoolbook Gauss compose/reduce/exp (the oracle)</t>
  </si>
  <si>
    <t xml:space="preserve">Person C</t>
  </si>
  <si>
    <t xml:space="preserve">cg-opt - NUCOMP + NUDUPL (the optimization)</t>
  </si>
  <si>
    <t xml:space="preserve">Person D</t>
  </si>
  <si>
    <t xml:space="preserve">cg-opt - optimized &amp; multi-exponentiation</t>
  </si>
  <si>
    <t xml:space="preserve">Person E</t>
  </si>
  <si>
    <t xml:space="preserve">cg-test - differential oracle, property &amp; edge tests</t>
  </si>
  <si>
    <t xml:space="preserve">Person F</t>
  </si>
  <si>
    <t xml:space="preserve">cg-bench + cg-report - JMH harness, charts, technical report</t>
  </si>
  <si>
    <t xml:space="preserve">ID</t>
  </si>
  <si>
    <t xml:space="preserve">Module</t>
  </si>
  <si>
    <t xml:space="preserve">Phase</t>
  </si>
  <si>
    <t xml:space="preserve">Deliverable</t>
  </si>
  <si>
    <t xml:space="preserve">Description / Acceptance criteria</t>
  </si>
  <si>
    <t xml:space="preserve">Owner</t>
  </si>
  <si>
    <t xml:space="preserve">Depends on</t>
  </si>
  <si>
    <t xml:space="preserve">Est. days</t>
  </si>
  <si>
    <t xml:space="preserve">Status</t>
  </si>
  <si>
    <t xml:space="preserve">% Complete</t>
  </si>
  <si>
    <t xml:space="preserve">Milestone</t>
  </si>
  <si>
    <t xml:space="preserve">D01</t>
  </si>
  <si>
    <t xml:space="preserve">cg-core</t>
  </si>
  <si>
    <t xml:space="preserve">P1</t>
  </si>
  <si>
    <t xml:space="preserve">Maven multi-module skeleton</t>
  </si>
  <si>
    <t xml:space="preserve">6 modules wired; CI builds; JUnit + JMH run</t>
  </si>
  <si>
    <t xml:space="preserve">A/F</t>
  </si>
  <si>
    <t xml:space="preserve">-</t>
  </si>
  <si>
    <t xml:space="preserve">Not Started</t>
  </si>
  <si>
    <t xml:space="preserve">M1</t>
  </si>
  <si>
    <t xml:space="preserve">D02</t>
  </si>
  <si>
    <t xml:space="preserve">Bqf type + GroupOps interface</t>
  </si>
  <si>
    <t xml:space="preserve">record Bqf(a,b,c); shared interface both impls satisfy</t>
  </si>
  <si>
    <t xml:space="preserve">A</t>
  </si>
  <si>
    <t xml:space="preserve">D03</t>
  </si>
  <si>
    <t xml:space="preserve">Discriminant &amp; random-form generators</t>
  </si>
  <si>
    <t xml:space="preserve">genDiscriminant, randomForm; seeded for KAT/bench</t>
  </si>
  <si>
    <t xml:space="preserve">D04</t>
  </si>
  <si>
    <t xml:space="preserve">Partial extended-GCD primitive</t>
  </si>
  <si>
    <t xml:space="preserve">Early-terminating ext-GCD at bound L=floor(|D|^1/4); unit-tested vs full GCD</t>
  </si>
  <si>
    <t xml:space="preserve">D05</t>
  </si>
  <si>
    <t xml:space="preserve">KAT vector file + helpers</t>
  </si>
  <si>
    <t xml:space="preserve">Deterministic-seed test vectors; toFixed/fromFixed</t>
  </si>
  <si>
    <t xml:space="preserve">D10</t>
  </si>
  <si>
    <t xml:space="preserve">cg-baseline</t>
  </si>
  <si>
    <t xml:space="preserve">Reduction (canonical)</t>
  </si>
  <si>
    <t xml:space="preserve">reduce() to |b|&lt;=a&lt;=c with canonical sign rules; KAT</t>
  </si>
  <si>
    <t xml:space="preserve">B</t>
  </si>
  <si>
    <t xml:space="preserve">M2</t>
  </si>
  <si>
    <t xml:space="preserve">D11</t>
  </si>
  <si>
    <t xml:space="preserve">Schoolbook Gauss composition</t>
  </si>
  <si>
    <t xml:space="preserve">compose() per Cohen 5.4.7; KAT vectors</t>
  </si>
  <si>
    <t xml:space="preserve">D12</t>
  </si>
  <si>
    <t xml:space="preserve">Binary exponentiation + inverse</t>
  </si>
  <si>
    <t xml:space="preserve">square-and-multiply exp(), inverse(); group-law tests</t>
  </si>
  <si>
    <t xml:space="preserve">D13</t>
  </si>
  <si>
    <t xml:space="preserve">Baseline group-law test suite</t>
  </si>
  <si>
    <t xml:space="preserve">associativity, identity, inverse, exp homomorphism</t>
  </si>
  <si>
    <t xml:space="preserve">D20</t>
  </si>
  <si>
    <t xml:space="preserve">cg-opt</t>
  </si>
  <si>
    <t xml:space="preserve">P2</t>
  </si>
  <si>
    <t xml:space="preserve">NUCOMP composition</t>
  </si>
  <si>
    <t xml:space="preserve">Optimized compose using partial-GCD; equals baseline after reduce</t>
  </si>
  <si>
    <t xml:space="preserve">C</t>
  </si>
  <si>
    <t xml:space="preserve">D04,D11</t>
  </si>
  <si>
    <t xml:space="preserve">M3</t>
  </si>
  <si>
    <t xml:space="preserve">D21</t>
  </si>
  <si>
    <t xml:space="preserve">NUDUPL squaring</t>
  </si>
  <si>
    <t xml:space="preserve">Squaring specialization; equals baseline square</t>
  </si>
  <si>
    <t xml:space="preserve">D22</t>
  </si>
  <si>
    <t xml:space="preserve">Windowed exponentiation</t>
  </si>
  <si>
    <t xml:space="preserve">Fixed-window exp; equals binary exp</t>
  </si>
  <si>
    <t xml:space="preserve">D</t>
  </si>
  <si>
    <t xml:space="preserve">D23</t>
  </si>
  <si>
    <t xml:space="preserve">wNAF exponentiation</t>
  </si>
  <si>
    <t xml:space="preserve">Signed sliding window using inverse(); equals binary exp</t>
  </si>
  <si>
    <t xml:space="preserve">M6</t>
  </si>
  <si>
    <t xml:space="preserve">D24</t>
  </si>
  <si>
    <t xml:space="preserve">Multi-exponentiation (Straus/Pippenger)</t>
  </si>
  <si>
    <t xml:space="preserve">Product of powers; equals naive loop</t>
  </si>
  <si>
    <t xml:space="preserve">D30</t>
  </si>
  <si>
    <t xml:space="preserve">cg-test</t>
  </si>
  <si>
    <t xml:space="preserve">Differential oracle framework</t>
  </si>
  <si>
    <t xml:space="preserve">Run opt vs baseline on seeded + fuzz inputs; record failing seeds</t>
  </si>
  <si>
    <t xml:space="preserve">E</t>
  </si>
  <si>
    <t xml:space="preserve">D31</t>
  </si>
  <si>
    <t xml:space="preserve">NUCOMP/NUDUPL differential tests</t>
  </si>
  <si>
    <t xml:space="preserve">compose/square equality across &gt;=3 discriminant sizes</t>
  </si>
  <si>
    <t xml:space="preserve">D30,D21</t>
  </si>
  <si>
    <t xml:space="preserve">D32</t>
  </si>
  <si>
    <t xml:space="preserve">Edge-case suite</t>
  </si>
  <si>
    <t xml:space="preserve">identity, ambiguous forms (b=0,a=c,|b|=a), tiny/huge exponents</t>
  </si>
  <si>
    <t xml:space="preserve">D33</t>
  </si>
  <si>
    <t xml:space="preserve">Exponentiation differential tests</t>
  </si>
  <si>
    <t xml:space="preserve">windowed/wNAF/multiExp vs binary</t>
  </si>
  <si>
    <t xml:space="preserve">D30,D22</t>
  </si>
  <si>
    <t xml:space="preserve">D34</t>
  </si>
  <si>
    <t xml:space="preserve">Correctness-evidence write-up</t>
  </si>
  <si>
    <t xml:space="preserve">1-page: inputs covered, counts, seeds</t>
  </si>
  <si>
    <t xml:space="preserve">D31,D32</t>
  </si>
  <si>
    <t xml:space="preserve">M5</t>
  </si>
  <si>
    <t xml:space="preserve">D40</t>
  </si>
  <si>
    <t xml:space="preserve">cg-bench</t>
  </si>
  <si>
    <t xml:space="preserve">JMH harness skeleton</t>
  </si>
  <si>
    <t xml:space="preserve">warmup/measurement config, Blackhole, @Param sizes</t>
  </si>
  <si>
    <t xml:space="preserve">F</t>
  </si>
  <si>
    <t xml:space="preserve">M4</t>
  </si>
  <si>
    <t xml:space="preserve">D41</t>
  </si>
  <si>
    <t xml:space="preserve">Compose/square benchmarks</t>
  </si>
  <si>
    <t xml:space="preserve">baseline vs NUCOMP/NUDUPL across D sizes</t>
  </si>
  <si>
    <t xml:space="preserve">D40,D21</t>
  </si>
  <si>
    <t xml:space="preserve">D42</t>
  </si>
  <si>
    <t xml:space="preserve">Exponentiation benchmarks</t>
  </si>
  <si>
    <t xml:space="preserve">binary vs windowed/wNAF vs exponent size</t>
  </si>
  <si>
    <t xml:space="preserve">D40,D22</t>
  </si>
  <si>
    <t xml:space="preserve">D43</t>
  </si>
  <si>
    <t xml:space="preserve">Result export + charts</t>
  </si>
  <si>
    <t xml:space="preserve">CSV/JSON export; time-vs-size charts; speedup table</t>
  </si>
  <si>
    <t xml:space="preserve">D44</t>
  </si>
  <si>
    <t xml:space="preserve">Multi-exp benchmark</t>
  </si>
  <si>
    <t xml:space="preserve">multiExp vs naive loop</t>
  </si>
  <si>
    <t xml:space="preserve">D40,D24</t>
  </si>
  <si>
    <t xml:space="preserve">D50</t>
  </si>
  <si>
    <t xml:space="preserve">Docs</t>
  </si>
  <si>
    <t xml:space="preserve">HLD document</t>
  </si>
  <si>
    <t xml:space="preserve">Scope, architecture, success criteria (this set)</t>
  </si>
  <si>
    <t xml:space="preserve">E/F</t>
  </si>
  <si>
    <t xml:space="preserve">In Review</t>
  </si>
  <si>
    <t xml:space="preserve">D51</t>
  </si>
  <si>
    <t xml:space="preserve">Per-module LLDs</t>
  </si>
  <si>
    <t xml:space="preserve">Each owner writes own module LLD</t>
  </si>
  <si>
    <t xml:space="preserve">All</t>
  </si>
  <si>
    <t xml:space="preserve">In Progress</t>
  </si>
  <si>
    <t xml:space="preserve">D52</t>
  </si>
  <si>
    <t xml:space="preserve">Technical report</t>
  </si>
  <si>
    <t xml:space="preserve">Method, results, speedup analysis, threats to validity, honesty caveat</t>
  </si>
  <si>
    <t xml:space="preserve">D43,D34</t>
  </si>
  <si>
    <t xml:space="preserve">D53</t>
  </si>
  <si>
    <t xml:space="preserve">README + 'not for production' notice</t>
  </si>
  <si>
    <t xml:space="preserve">Build/run (mvn) + how to reproduce benchmarks</t>
  </si>
  <si>
    <t xml:space="preserve">Summary</t>
  </si>
  <si>
    <t xml:space="preserve">Total deliverables</t>
  </si>
  <si>
    <t xml:space="preserve">MVP (P1) count</t>
  </si>
  <si>
    <t xml:space="preserve">Optimization/stretch (P2) count</t>
  </si>
  <si>
    <t xml:space="preserve">Total est. days</t>
  </si>
  <si>
    <t xml:space="preserve">Done count</t>
  </si>
  <si>
    <t xml:space="preserve">Maven module</t>
  </si>
  <si>
    <t xml:space="preserve">Deliverable IDs</t>
  </si>
  <si>
    <t xml:space="preserve">Notes</t>
  </si>
  <si>
    <t xml:space="preserve">D01*,D02,D03,D04,D05</t>
  </si>
  <si>
    <t xml:space="preserve">Critical-path feeder; partial-GCD (D04) blocks NUCOMP; pair with C</t>
  </si>
  <si>
    <t xml:space="preserve">D10,D11,D12,D13</t>
  </si>
  <si>
    <t xml:space="preserve">Builds the correctness oracle; clarity over speed</t>
  </si>
  <si>
    <t xml:space="preserve">cg-opt (compose)</t>
  </si>
  <si>
    <t xml:space="preserve">D20,D21</t>
  </si>
  <si>
    <t xml:space="preserve">The core optimization; keep differential oracle green</t>
  </si>
  <si>
    <t xml:space="preserve">cg-opt (exp)</t>
  </si>
  <si>
    <t xml:space="preserve">D22,D23,D24</t>
  </si>
  <si>
    <t xml:space="preserve">Windowed exp is P2 core; wNAF/multi-exp are stretch</t>
  </si>
  <si>
    <t xml:space="preserve">D30,D31,D32,D33,D34</t>
  </si>
  <si>
    <t xml:space="preserve">Correctness backbone; owns canonical-form equality</t>
  </si>
  <si>
    <t xml:space="preserve">cg-bench + cg-report</t>
  </si>
  <si>
    <t xml:space="preserve">D40,D41,D42,D43,D53</t>
  </si>
  <si>
    <t xml:space="preserve">JMH methodology is critical; co-owns build skeleton</t>
  </si>
  <si>
    <t xml:space="preserve">* co-owned with F (build). Docs (D50-D52) are shared across the whole team.</t>
  </si>
  <si>
    <t xml:space="preserve">Target</t>
  </si>
  <si>
    <t xml:space="preserve">Gate / definition of done</t>
  </si>
  <si>
    <t xml:space="preserve">Key deliverables</t>
  </si>
  <si>
    <t xml:space="preserve">Foundations</t>
  </si>
  <si>
    <t xml:space="preserve">cg-core: Bqf, generators, partial-GCD, GroupOps; KAT vectors; build green</t>
  </si>
  <si>
    <t xml:space="preserve">D01-D05</t>
  </si>
  <si>
    <t xml:space="preserve">Baseline = oracle</t>
  </si>
  <si>
    <t xml:space="preserve">Schoolbook compose/reduce/exp correct; group-law tests pass</t>
  </si>
  <si>
    <t xml:space="preserve">D10-D13</t>
  </si>
  <si>
    <t xml:space="preserve">Optimization correct</t>
  </si>
  <si>
    <t xml:space="preserve">NUCOMP/NUDUPL pass differential oracle vs baseline across sizes</t>
  </si>
  <si>
    <t xml:space="preserve">D20,D21,D30-D32</t>
  </si>
  <si>
    <t xml:space="preserve">Measurement sound</t>
  </si>
  <si>
    <t xml:space="preserve">JMH harness produces stable numbers across discriminant sizes</t>
  </si>
  <si>
    <t xml:space="preserve">D40-D42</t>
  </si>
  <si>
    <t xml:space="preserve">CORE RESULT</t>
  </si>
  <si>
    <t xml:space="preserve">Measured speedup + charts + report draft (contribution complete)</t>
  </si>
  <si>
    <t xml:space="preserve">D43,D34,D52,D53</t>
  </si>
  <si>
    <t xml:space="preserve">Stretch</t>
  </si>
  <si>
    <t xml:space="preserve">wNAF, multi-exponentiation, parameter sweep, paper comparison</t>
  </si>
  <si>
    <t xml:space="preserve">D23,D24,D44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</si>
</sst>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26.8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 t="s">
        <v>14</v>
      </c>
    </row>
    <row r="11" customFormat="false" ht="15" hidden="false" customHeight="false" outlineLevel="0" collapsed="false">
      <c r="A11" s="3" t="s">
        <v>15</v>
      </c>
      <c r="B11" s="2" t="s">
        <v>16</v>
      </c>
    </row>
    <row r="12" customFormat="false" ht="26.85" hidden="false" customHeight="false" outlineLevel="0" collapsed="false">
      <c r="A12" s="3" t="s">
        <v>17</v>
      </c>
      <c r="B12" s="2" t="s">
        <v>18</v>
      </c>
    </row>
    <row r="13" customFormat="false" ht="15" hidden="false" customHeight="false" outlineLevel="0" collapsed="false">
      <c r="A13" s="3" t="s">
        <v>19</v>
      </c>
      <c r="B13" s="2" t="s">
        <v>20</v>
      </c>
    </row>
    <row r="14" customFormat="false" ht="15" hidden="false" customHeight="false" outlineLevel="0" collapsed="false">
      <c r="A14" s="3" t="s">
        <v>21</v>
      </c>
      <c r="B14" s="2" t="s">
        <v>22</v>
      </c>
    </row>
    <row r="15" customFormat="false" ht="26.85" hidden="false" customHeight="false" outlineLevel="0" collapsed="false">
      <c r="A15" s="3" t="s">
        <v>23</v>
      </c>
      <c r="B15" s="2" t="s">
        <v>24</v>
      </c>
    </row>
    <row r="16" customFormat="false" ht="15" hidden="false" customHeight="false" outlineLevel="0" collapsed="false">
      <c r="A16" s="2"/>
      <c r="B16" s="2"/>
    </row>
    <row r="17" customFormat="false" ht="26.85" hidden="false" customHeight="false" outlineLevel="0" collapsed="false">
      <c r="A17" s="4" t="s">
        <v>25</v>
      </c>
      <c r="B17" s="2"/>
    </row>
    <row r="18" customFormat="false" ht="1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3" t="s">
        <v>30</v>
      </c>
      <c r="B20" s="2" t="s">
        <v>31</v>
      </c>
    </row>
    <row r="21" customFormat="false" ht="15" hidden="false" customHeight="false" outlineLevel="0" collapsed="false">
      <c r="A21" s="3" t="s">
        <v>32</v>
      </c>
      <c r="B21" s="2" t="s">
        <v>33</v>
      </c>
    </row>
    <row r="22" customFormat="false" ht="15" hidden="false" customHeight="false" outlineLevel="0" collapsed="false">
      <c r="A22" s="3" t="s">
        <v>34</v>
      </c>
      <c r="B22" s="2" t="s">
        <v>35</v>
      </c>
    </row>
    <row r="23" customFormat="false" ht="15" hidden="false" customHeight="false" outlineLevel="0" collapsed="false">
      <c r="A23" s="3" t="s">
        <v>36</v>
      </c>
      <c r="B23" s="2" t="s">
        <v>37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</row>
    <row r="2" customFormat="false" ht="15" hidden="false" customHeight="false" outlineLevel="0" collapsed="false">
      <c r="A2" s="6" t="s">
        <v>49</v>
      </c>
      <c r="B2" s="6" t="s">
        <v>50</v>
      </c>
      <c r="C2" s="7" t="s">
        <v>51</v>
      </c>
      <c r="D2" s="6" t="s">
        <v>52</v>
      </c>
      <c r="E2" s="6" t="s">
        <v>53</v>
      </c>
      <c r="F2" s="6" t="s">
        <v>54</v>
      </c>
      <c r="G2" s="6" t="s">
        <v>55</v>
      </c>
      <c r="H2" s="7" t="n">
        <v>2</v>
      </c>
      <c r="I2" s="6" t="s">
        <v>56</v>
      </c>
      <c r="J2" s="8" t="n">
        <v>0</v>
      </c>
      <c r="K2" s="6" t="s">
        <v>57</v>
      </c>
    </row>
    <row r="3" customFormat="false" ht="15" hidden="false" customHeight="false" outlineLevel="0" collapsed="false">
      <c r="A3" s="6" t="s">
        <v>58</v>
      </c>
      <c r="B3" s="6" t="s">
        <v>50</v>
      </c>
      <c r="C3" s="7" t="s">
        <v>51</v>
      </c>
      <c r="D3" s="6" t="s">
        <v>59</v>
      </c>
      <c r="E3" s="6" t="s">
        <v>60</v>
      </c>
      <c r="F3" s="6" t="s">
        <v>61</v>
      </c>
      <c r="G3" s="6" t="s">
        <v>49</v>
      </c>
      <c r="H3" s="7" t="n">
        <v>2</v>
      </c>
      <c r="I3" s="6" t="s">
        <v>56</v>
      </c>
      <c r="J3" s="8" t="n">
        <v>0</v>
      </c>
      <c r="K3" s="6" t="s">
        <v>57</v>
      </c>
    </row>
    <row r="4" customFormat="false" ht="26.85" hidden="false" customHeight="false" outlineLevel="0" collapsed="false">
      <c r="A4" s="6" t="s">
        <v>62</v>
      </c>
      <c r="B4" s="6" t="s">
        <v>50</v>
      </c>
      <c r="C4" s="7" t="s">
        <v>51</v>
      </c>
      <c r="D4" s="6" t="s">
        <v>63</v>
      </c>
      <c r="E4" s="6" t="s">
        <v>64</v>
      </c>
      <c r="F4" s="6" t="s">
        <v>61</v>
      </c>
      <c r="G4" s="6" t="s">
        <v>58</v>
      </c>
      <c r="H4" s="7" t="n">
        <v>2</v>
      </c>
      <c r="I4" s="6" t="s">
        <v>56</v>
      </c>
      <c r="J4" s="8" t="n">
        <v>0</v>
      </c>
      <c r="K4" s="6" t="s">
        <v>57</v>
      </c>
    </row>
    <row r="5" customFormat="false" ht="26.85" hidden="false" customHeight="false" outlineLevel="0" collapsed="false">
      <c r="A5" s="6" t="s">
        <v>65</v>
      </c>
      <c r="B5" s="6" t="s">
        <v>50</v>
      </c>
      <c r="C5" s="7" t="s">
        <v>51</v>
      </c>
      <c r="D5" s="6" t="s">
        <v>66</v>
      </c>
      <c r="E5" s="6" t="s">
        <v>67</v>
      </c>
      <c r="F5" s="6" t="s">
        <v>61</v>
      </c>
      <c r="G5" s="6" t="s">
        <v>58</v>
      </c>
      <c r="H5" s="7" t="n">
        <v>3</v>
      </c>
      <c r="I5" s="6" t="s">
        <v>56</v>
      </c>
      <c r="J5" s="8" t="n">
        <v>0</v>
      </c>
      <c r="K5" s="6" t="s">
        <v>57</v>
      </c>
    </row>
    <row r="6" customFormat="false" ht="15" hidden="false" customHeight="false" outlineLevel="0" collapsed="false">
      <c r="A6" s="6" t="s">
        <v>68</v>
      </c>
      <c r="B6" s="6" t="s">
        <v>50</v>
      </c>
      <c r="C6" s="7" t="s">
        <v>51</v>
      </c>
      <c r="D6" s="6" t="s">
        <v>69</v>
      </c>
      <c r="E6" s="6" t="s">
        <v>70</v>
      </c>
      <c r="F6" s="6" t="s">
        <v>61</v>
      </c>
      <c r="G6" s="6" t="s">
        <v>62</v>
      </c>
      <c r="H6" s="7" t="n">
        <v>2</v>
      </c>
      <c r="I6" s="6" t="s">
        <v>56</v>
      </c>
      <c r="J6" s="8" t="n">
        <v>0</v>
      </c>
      <c r="K6" s="6" t="s">
        <v>57</v>
      </c>
    </row>
    <row r="7" customFormat="false" ht="15" hidden="false" customHeight="false" outlineLevel="0" collapsed="false">
      <c r="A7" s="6" t="s">
        <v>71</v>
      </c>
      <c r="B7" s="6" t="s">
        <v>72</v>
      </c>
      <c r="C7" s="7" t="s">
        <v>51</v>
      </c>
      <c r="D7" s="6" t="s">
        <v>73</v>
      </c>
      <c r="E7" s="6" t="s">
        <v>74</v>
      </c>
      <c r="F7" s="6" t="s">
        <v>75</v>
      </c>
      <c r="G7" s="6" t="s">
        <v>58</v>
      </c>
      <c r="H7" s="7" t="n">
        <v>3</v>
      </c>
      <c r="I7" s="6" t="s">
        <v>56</v>
      </c>
      <c r="J7" s="8" t="n">
        <v>0</v>
      </c>
      <c r="K7" s="6" t="s">
        <v>76</v>
      </c>
    </row>
    <row r="8" customFormat="false" ht="15" hidden="false" customHeight="false" outlineLevel="0" collapsed="false">
      <c r="A8" s="6" t="s">
        <v>77</v>
      </c>
      <c r="B8" s="6" t="s">
        <v>72</v>
      </c>
      <c r="C8" s="7" t="s">
        <v>51</v>
      </c>
      <c r="D8" s="6" t="s">
        <v>78</v>
      </c>
      <c r="E8" s="6" t="s">
        <v>79</v>
      </c>
      <c r="F8" s="6" t="s">
        <v>75</v>
      </c>
      <c r="G8" s="6" t="s">
        <v>71</v>
      </c>
      <c r="H8" s="7" t="n">
        <v>4</v>
      </c>
      <c r="I8" s="6" t="s">
        <v>56</v>
      </c>
      <c r="J8" s="8" t="n">
        <v>0</v>
      </c>
      <c r="K8" s="6" t="s">
        <v>76</v>
      </c>
    </row>
    <row r="9" customFormat="false" ht="15" hidden="false" customHeight="false" outlineLevel="0" collapsed="false">
      <c r="A9" s="6" t="s">
        <v>80</v>
      </c>
      <c r="B9" s="6" t="s">
        <v>72</v>
      </c>
      <c r="C9" s="7" t="s">
        <v>51</v>
      </c>
      <c r="D9" s="6" t="s">
        <v>81</v>
      </c>
      <c r="E9" s="6" t="s">
        <v>82</v>
      </c>
      <c r="F9" s="6" t="s">
        <v>75</v>
      </c>
      <c r="G9" s="6" t="s">
        <v>77</v>
      </c>
      <c r="H9" s="7" t="n">
        <v>2</v>
      </c>
      <c r="I9" s="6" t="s">
        <v>56</v>
      </c>
      <c r="J9" s="8" t="n">
        <v>0</v>
      </c>
      <c r="K9" s="6" t="s">
        <v>76</v>
      </c>
    </row>
    <row r="10" customFormat="false" ht="15" hidden="false" customHeight="false" outlineLevel="0" collapsed="false">
      <c r="A10" s="6" t="s">
        <v>83</v>
      </c>
      <c r="B10" s="6" t="s">
        <v>72</v>
      </c>
      <c r="C10" s="7" t="s">
        <v>51</v>
      </c>
      <c r="D10" s="6" t="s">
        <v>84</v>
      </c>
      <c r="E10" s="6" t="s">
        <v>85</v>
      </c>
      <c r="F10" s="6" t="s">
        <v>75</v>
      </c>
      <c r="G10" s="6" t="s">
        <v>80</v>
      </c>
      <c r="H10" s="7" t="n">
        <v>2</v>
      </c>
      <c r="I10" s="6" t="s">
        <v>56</v>
      </c>
      <c r="J10" s="8" t="n">
        <v>0</v>
      </c>
      <c r="K10" s="6" t="s">
        <v>76</v>
      </c>
    </row>
    <row r="11" customFormat="false" ht="26.85" hidden="false" customHeight="false" outlineLevel="0" collapsed="false">
      <c r="A11" s="9" t="s">
        <v>86</v>
      </c>
      <c r="B11" s="9" t="s">
        <v>87</v>
      </c>
      <c r="C11" s="10" t="s">
        <v>88</v>
      </c>
      <c r="D11" s="9" t="s">
        <v>89</v>
      </c>
      <c r="E11" s="9" t="s">
        <v>90</v>
      </c>
      <c r="F11" s="9" t="s">
        <v>91</v>
      </c>
      <c r="G11" s="9" t="s">
        <v>92</v>
      </c>
      <c r="H11" s="10" t="n">
        <v>5</v>
      </c>
      <c r="I11" s="9" t="s">
        <v>56</v>
      </c>
      <c r="J11" s="11" t="n">
        <v>0</v>
      </c>
      <c r="K11" s="9" t="s">
        <v>93</v>
      </c>
    </row>
    <row r="12" customFormat="false" ht="15" hidden="false" customHeight="false" outlineLevel="0" collapsed="false">
      <c r="A12" s="9" t="s">
        <v>94</v>
      </c>
      <c r="B12" s="9" t="s">
        <v>87</v>
      </c>
      <c r="C12" s="10" t="s">
        <v>88</v>
      </c>
      <c r="D12" s="9" t="s">
        <v>95</v>
      </c>
      <c r="E12" s="9" t="s">
        <v>96</v>
      </c>
      <c r="F12" s="9" t="s">
        <v>91</v>
      </c>
      <c r="G12" s="9" t="s">
        <v>86</v>
      </c>
      <c r="H12" s="10" t="n">
        <v>3</v>
      </c>
      <c r="I12" s="9" t="s">
        <v>56</v>
      </c>
      <c r="J12" s="11" t="n">
        <v>0</v>
      </c>
      <c r="K12" s="9" t="s">
        <v>93</v>
      </c>
    </row>
    <row r="13" customFormat="false" ht="15" hidden="false" customHeight="false" outlineLevel="0" collapsed="false">
      <c r="A13" s="9" t="s">
        <v>97</v>
      </c>
      <c r="B13" s="9" t="s">
        <v>87</v>
      </c>
      <c r="C13" s="10" t="s">
        <v>88</v>
      </c>
      <c r="D13" s="9" t="s">
        <v>98</v>
      </c>
      <c r="E13" s="9" t="s">
        <v>99</v>
      </c>
      <c r="F13" s="9" t="s">
        <v>100</v>
      </c>
      <c r="G13" s="9" t="s">
        <v>80</v>
      </c>
      <c r="H13" s="10" t="n">
        <v>3</v>
      </c>
      <c r="I13" s="9" t="s">
        <v>56</v>
      </c>
      <c r="J13" s="11" t="n">
        <v>0</v>
      </c>
      <c r="K13" s="9" t="s">
        <v>93</v>
      </c>
    </row>
    <row r="14" customFormat="false" ht="26.85" hidden="false" customHeight="false" outlineLevel="0" collapsed="false">
      <c r="A14" s="9" t="s">
        <v>101</v>
      </c>
      <c r="B14" s="9" t="s">
        <v>87</v>
      </c>
      <c r="C14" s="10" t="s">
        <v>88</v>
      </c>
      <c r="D14" s="9" t="s">
        <v>102</v>
      </c>
      <c r="E14" s="9" t="s">
        <v>103</v>
      </c>
      <c r="F14" s="9" t="s">
        <v>100</v>
      </c>
      <c r="G14" s="9" t="s">
        <v>97</v>
      </c>
      <c r="H14" s="10" t="n">
        <v>3</v>
      </c>
      <c r="I14" s="9" t="s">
        <v>56</v>
      </c>
      <c r="J14" s="11" t="n">
        <v>0</v>
      </c>
      <c r="K14" s="9" t="s">
        <v>104</v>
      </c>
    </row>
    <row r="15" customFormat="false" ht="26.85" hidden="false" customHeight="false" outlineLevel="0" collapsed="false">
      <c r="A15" s="9" t="s">
        <v>105</v>
      </c>
      <c r="B15" s="9" t="s">
        <v>87</v>
      </c>
      <c r="C15" s="10" t="s">
        <v>88</v>
      </c>
      <c r="D15" s="9" t="s">
        <v>106</v>
      </c>
      <c r="E15" s="9" t="s">
        <v>107</v>
      </c>
      <c r="F15" s="9" t="s">
        <v>100</v>
      </c>
      <c r="G15" s="9" t="s">
        <v>97</v>
      </c>
      <c r="H15" s="10" t="n">
        <v>5</v>
      </c>
      <c r="I15" s="9" t="s">
        <v>56</v>
      </c>
      <c r="J15" s="11" t="n">
        <v>0</v>
      </c>
      <c r="K15" s="9" t="s">
        <v>104</v>
      </c>
    </row>
    <row r="16" customFormat="false" ht="26.85" hidden="false" customHeight="false" outlineLevel="0" collapsed="false">
      <c r="A16" s="6" t="s">
        <v>108</v>
      </c>
      <c r="B16" s="6" t="s">
        <v>109</v>
      </c>
      <c r="C16" s="7" t="s">
        <v>51</v>
      </c>
      <c r="D16" s="6" t="s">
        <v>110</v>
      </c>
      <c r="E16" s="6" t="s">
        <v>111</v>
      </c>
      <c r="F16" s="6" t="s">
        <v>112</v>
      </c>
      <c r="G16" s="6" t="s">
        <v>83</v>
      </c>
      <c r="H16" s="7" t="n">
        <v>3</v>
      </c>
      <c r="I16" s="6" t="s">
        <v>56</v>
      </c>
      <c r="J16" s="8" t="n">
        <v>0</v>
      </c>
      <c r="K16" s="6" t="s">
        <v>93</v>
      </c>
    </row>
    <row r="17" customFormat="false" ht="26.85" hidden="false" customHeight="false" outlineLevel="0" collapsed="false">
      <c r="A17" s="9" t="s">
        <v>113</v>
      </c>
      <c r="B17" s="9" t="s">
        <v>109</v>
      </c>
      <c r="C17" s="10" t="s">
        <v>88</v>
      </c>
      <c r="D17" s="9" t="s">
        <v>114</v>
      </c>
      <c r="E17" s="9" t="s">
        <v>115</v>
      </c>
      <c r="F17" s="9" t="s">
        <v>112</v>
      </c>
      <c r="G17" s="9" t="s">
        <v>116</v>
      </c>
      <c r="H17" s="10" t="n">
        <v>2</v>
      </c>
      <c r="I17" s="9" t="s">
        <v>56</v>
      </c>
      <c r="J17" s="11" t="n">
        <v>0</v>
      </c>
      <c r="K17" s="9" t="s">
        <v>93</v>
      </c>
    </row>
    <row r="18" customFormat="false" ht="26.85" hidden="false" customHeight="false" outlineLevel="0" collapsed="false">
      <c r="A18" s="6" t="s">
        <v>117</v>
      </c>
      <c r="B18" s="6" t="s">
        <v>109</v>
      </c>
      <c r="C18" s="7" t="s">
        <v>51</v>
      </c>
      <c r="D18" s="6" t="s">
        <v>118</v>
      </c>
      <c r="E18" s="6" t="s">
        <v>119</v>
      </c>
      <c r="F18" s="6" t="s">
        <v>112</v>
      </c>
      <c r="G18" s="6" t="s">
        <v>108</v>
      </c>
      <c r="H18" s="7" t="n">
        <v>2</v>
      </c>
      <c r="I18" s="6" t="s">
        <v>56</v>
      </c>
      <c r="J18" s="8" t="n">
        <v>0</v>
      </c>
      <c r="K18" s="6" t="s">
        <v>93</v>
      </c>
    </row>
    <row r="19" customFormat="false" ht="15" hidden="false" customHeight="false" outlineLevel="0" collapsed="false">
      <c r="A19" s="9" t="s">
        <v>120</v>
      </c>
      <c r="B19" s="9" t="s">
        <v>109</v>
      </c>
      <c r="C19" s="10" t="s">
        <v>88</v>
      </c>
      <c r="D19" s="9" t="s">
        <v>121</v>
      </c>
      <c r="E19" s="9" t="s">
        <v>122</v>
      </c>
      <c r="F19" s="9" t="s">
        <v>112</v>
      </c>
      <c r="G19" s="9" t="s">
        <v>123</v>
      </c>
      <c r="H19" s="10" t="n">
        <v>2</v>
      </c>
      <c r="I19" s="9" t="s">
        <v>56</v>
      </c>
      <c r="J19" s="11" t="n">
        <v>0</v>
      </c>
      <c r="K19" s="9" t="s">
        <v>93</v>
      </c>
    </row>
    <row r="20" customFormat="false" ht="15" hidden="false" customHeight="false" outlineLevel="0" collapsed="false">
      <c r="A20" s="6" t="s">
        <v>124</v>
      </c>
      <c r="B20" s="6" t="s">
        <v>109</v>
      </c>
      <c r="C20" s="7" t="s">
        <v>51</v>
      </c>
      <c r="D20" s="6" t="s">
        <v>125</v>
      </c>
      <c r="E20" s="6" t="s">
        <v>126</v>
      </c>
      <c r="F20" s="6" t="s">
        <v>112</v>
      </c>
      <c r="G20" s="6" t="s">
        <v>127</v>
      </c>
      <c r="H20" s="7" t="n">
        <v>1</v>
      </c>
      <c r="I20" s="6" t="s">
        <v>56</v>
      </c>
      <c r="J20" s="8" t="n">
        <v>0</v>
      </c>
      <c r="K20" s="6" t="s">
        <v>128</v>
      </c>
    </row>
    <row r="21" customFormat="false" ht="26.85" hidden="false" customHeight="false" outlineLevel="0" collapsed="false">
      <c r="A21" s="6" t="s">
        <v>129</v>
      </c>
      <c r="B21" s="6" t="s">
        <v>130</v>
      </c>
      <c r="C21" s="7" t="s">
        <v>51</v>
      </c>
      <c r="D21" s="6" t="s">
        <v>131</v>
      </c>
      <c r="E21" s="6" t="s">
        <v>132</v>
      </c>
      <c r="F21" s="6" t="s">
        <v>133</v>
      </c>
      <c r="G21" s="6" t="s">
        <v>83</v>
      </c>
      <c r="H21" s="7" t="n">
        <v>3</v>
      </c>
      <c r="I21" s="6" t="s">
        <v>56</v>
      </c>
      <c r="J21" s="8" t="n">
        <v>0</v>
      </c>
      <c r="K21" s="6" t="s">
        <v>134</v>
      </c>
    </row>
    <row r="22" customFormat="false" ht="15" hidden="false" customHeight="false" outlineLevel="0" collapsed="false">
      <c r="A22" s="9" t="s">
        <v>135</v>
      </c>
      <c r="B22" s="9" t="s">
        <v>130</v>
      </c>
      <c r="C22" s="10" t="s">
        <v>88</v>
      </c>
      <c r="D22" s="9" t="s">
        <v>136</v>
      </c>
      <c r="E22" s="9" t="s">
        <v>137</v>
      </c>
      <c r="F22" s="9" t="s">
        <v>133</v>
      </c>
      <c r="G22" s="9" t="s">
        <v>138</v>
      </c>
      <c r="H22" s="10" t="n">
        <v>2</v>
      </c>
      <c r="I22" s="9" t="s">
        <v>56</v>
      </c>
      <c r="J22" s="11" t="n">
        <v>0</v>
      </c>
      <c r="K22" s="9" t="s">
        <v>134</v>
      </c>
    </row>
    <row r="23" customFormat="false" ht="15" hidden="false" customHeight="false" outlineLevel="0" collapsed="false">
      <c r="A23" s="9" t="s">
        <v>139</v>
      </c>
      <c r="B23" s="9" t="s">
        <v>130</v>
      </c>
      <c r="C23" s="10" t="s">
        <v>88</v>
      </c>
      <c r="D23" s="9" t="s">
        <v>140</v>
      </c>
      <c r="E23" s="9" t="s">
        <v>141</v>
      </c>
      <c r="F23" s="9" t="s">
        <v>133</v>
      </c>
      <c r="G23" s="9" t="s">
        <v>142</v>
      </c>
      <c r="H23" s="10" t="n">
        <v>2</v>
      </c>
      <c r="I23" s="9" t="s">
        <v>56</v>
      </c>
      <c r="J23" s="11" t="n">
        <v>0</v>
      </c>
      <c r="K23" s="9" t="s">
        <v>134</v>
      </c>
    </row>
    <row r="24" customFormat="false" ht="15" hidden="false" customHeight="false" outlineLevel="0" collapsed="false">
      <c r="A24" s="6" t="s">
        <v>143</v>
      </c>
      <c r="B24" s="6" t="s">
        <v>130</v>
      </c>
      <c r="C24" s="7" t="s">
        <v>51</v>
      </c>
      <c r="D24" s="6" t="s">
        <v>144</v>
      </c>
      <c r="E24" s="6" t="s">
        <v>145</v>
      </c>
      <c r="F24" s="6" t="s">
        <v>133</v>
      </c>
      <c r="G24" s="6" t="s">
        <v>135</v>
      </c>
      <c r="H24" s="7" t="n">
        <v>2</v>
      </c>
      <c r="I24" s="6" t="s">
        <v>56</v>
      </c>
      <c r="J24" s="8" t="n">
        <v>0</v>
      </c>
      <c r="K24" s="6" t="s">
        <v>128</v>
      </c>
    </row>
    <row r="25" customFormat="false" ht="15" hidden="false" customHeight="false" outlineLevel="0" collapsed="false">
      <c r="A25" s="9" t="s">
        <v>146</v>
      </c>
      <c r="B25" s="9" t="s">
        <v>130</v>
      </c>
      <c r="C25" s="10" t="s">
        <v>88</v>
      </c>
      <c r="D25" s="9" t="s">
        <v>147</v>
      </c>
      <c r="E25" s="9" t="s">
        <v>148</v>
      </c>
      <c r="F25" s="9" t="s">
        <v>133</v>
      </c>
      <c r="G25" s="9" t="s">
        <v>149</v>
      </c>
      <c r="H25" s="10" t="n">
        <v>2</v>
      </c>
      <c r="I25" s="9" t="s">
        <v>56</v>
      </c>
      <c r="J25" s="11" t="n">
        <v>0</v>
      </c>
      <c r="K25" s="9" t="s">
        <v>104</v>
      </c>
    </row>
    <row r="26" customFormat="false" ht="15" hidden="false" customHeight="false" outlineLevel="0" collapsed="false">
      <c r="A26" s="6" t="s">
        <v>150</v>
      </c>
      <c r="B26" s="6" t="s">
        <v>151</v>
      </c>
      <c r="C26" s="7" t="s">
        <v>51</v>
      </c>
      <c r="D26" s="6" t="s">
        <v>152</v>
      </c>
      <c r="E26" s="6" t="s">
        <v>153</v>
      </c>
      <c r="F26" s="6" t="s">
        <v>154</v>
      </c>
      <c r="G26" s="6" t="s">
        <v>55</v>
      </c>
      <c r="H26" s="7" t="n">
        <v>2</v>
      </c>
      <c r="I26" s="6" t="s">
        <v>155</v>
      </c>
      <c r="J26" s="8" t="n">
        <v>0.6</v>
      </c>
      <c r="K26" s="6" t="s">
        <v>57</v>
      </c>
    </row>
    <row r="27" customFormat="false" ht="15" hidden="false" customHeight="false" outlineLevel="0" collapsed="false">
      <c r="A27" s="6" t="s">
        <v>156</v>
      </c>
      <c r="B27" s="6" t="s">
        <v>151</v>
      </c>
      <c r="C27" s="7" t="s">
        <v>51</v>
      </c>
      <c r="D27" s="6" t="s">
        <v>157</v>
      </c>
      <c r="E27" s="6" t="s">
        <v>158</v>
      </c>
      <c r="F27" s="6" t="s">
        <v>159</v>
      </c>
      <c r="G27" s="6" t="s">
        <v>150</v>
      </c>
      <c r="H27" s="7" t="n">
        <v>3</v>
      </c>
      <c r="I27" s="6" t="s">
        <v>160</v>
      </c>
      <c r="J27" s="8" t="n">
        <v>0.3</v>
      </c>
      <c r="K27" s="6" t="s">
        <v>76</v>
      </c>
    </row>
    <row r="28" customFormat="false" ht="26.85" hidden="false" customHeight="false" outlineLevel="0" collapsed="false">
      <c r="A28" s="6" t="s">
        <v>161</v>
      </c>
      <c r="B28" s="6" t="s">
        <v>151</v>
      </c>
      <c r="C28" s="7" t="s">
        <v>51</v>
      </c>
      <c r="D28" s="6" t="s">
        <v>162</v>
      </c>
      <c r="E28" s="6" t="s">
        <v>163</v>
      </c>
      <c r="F28" s="6" t="s">
        <v>159</v>
      </c>
      <c r="G28" s="6" t="s">
        <v>164</v>
      </c>
      <c r="H28" s="7" t="n">
        <v>4</v>
      </c>
      <c r="I28" s="6" t="s">
        <v>56</v>
      </c>
      <c r="J28" s="8" t="n">
        <v>0</v>
      </c>
      <c r="K28" s="6" t="s">
        <v>128</v>
      </c>
    </row>
    <row r="29" customFormat="false" ht="26.85" hidden="false" customHeight="false" outlineLevel="0" collapsed="false">
      <c r="A29" s="6" t="s">
        <v>165</v>
      </c>
      <c r="B29" s="6" t="s">
        <v>151</v>
      </c>
      <c r="C29" s="7" t="s">
        <v>51</v>
      </c>
      <c r="D29" s="6" t="s">
        <v>166</v>
      </c>
      <c r="E29" s="6" t="s">
        <v>167</v>
      </c>
      <c r="F29" s="6" t="s">
        <v>133</v>
      </c>
      <c r="G29" s="6" t="s">
        <v>143</v>
      </c>
      <c r="H29" s="7" t="n">
        <v>1</v>
      </c>
      <c r="I29" s="6" t="s">
        <v>56</v>
      </c>
      <c r="J29" s="8" t="n">
        <v>0</v>
      </c>
      <c r="K29" s="6" t="s">
        <v>128</v>
      </c>
    </row>
    <row r="32" customFormat="false" ht="15" hidden="false" customHeight="false" outlineLevel="0" collapsed="false">
      <c r="A32" s="12" t="s">
        <v>168</v>
      </c>
    </row>
    <row r="33" customFormat="false" ht="15" hidden="false" customHeight="false" outlineLevel="0" collapsed="false">
      <c r="A33" s="13" t="s">
        <v>169</v>
      </c>
      <c r="B33" s="14" t="n">
        <f aca="false">COUNTA(A2:A29)</f>
        <v>28</v>
      </c>
    </row>
    <row r="34" customFormat="false" ht="15" hidden="false" customHeight="false" outlineLevel="0" collapsed="false">
      <c r="A34" s="13" t="s">
        <v>170</v>
      </c>
      <c r="B34" s="14" t="n">
        <f aca="false">COUNTIF(C2:C29,"P1")</f>
        <v>18</v>
      </c>
    </row>
    <row r="35" customFormat="false" ht="15" hidden="false" customHeight="false" outlineLevel="0" collapsed="false">
      <c r="A35" s="13" t="s">
        <v>171</v>
      </c>
      <c r="B35" s="14" t="n">
        <f aca="false">COUNTIF(C2:C29,"P2")</f>
        <v>10</v>
      </c>
    </row>
    <row r="36" customFormat="false" ht="15" hidden="false" customHeight="false" outlineLevel="0" collapsed="false">
      <c r="A36" s="13" t="s">
        <v>172</v>
      </c>
      <c r="B36" s="14" t="n">
        <f aca="false">SUM(H2:H29)</f>
        <v>72</v>
      </c>
    </row>
    <row r="37" customFormat="false" ht="15" hidden="false" customHeight="false" outlineLevel="0" collapsed="false">
      <c r="A37" s="13" t="s">
        <v>173</v>
      </c>
      <c r="B37" s="14" t="n">
        <f aca="false">COUNTIF(I2:I29,"Done")</f>
        <v>0</v>
      </c>
    </row>
  </sheetData>
  <autoFilter ref="A1:K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15" t="s">
        <v>43</v>
      </c>
      <c r="B1" s="15" t="s">
        <v>174</v>
      </c>
      <c r="C1" s="15" t="s">
        <v>175</v>
      </c>
      <c r="D1" s="15" t="s">
        <v>45</v>
      </c>
      <c r="E1" s="15" t="s">
        <v>176</v>
      </c>
    </row>
    <row r="2" customFormat="false" ht="26.85" hidden="false" customHeight="false" outlineLevel="0" collapsed="false">
      <c r="A2" s="16" t="s">
        <v>26</v>
      </c>
      <c r="B2" s="16" t="s">
        <v>50</v>
      </c>
      <c r="C2" s="16" t="s">
        <v>177</v>
      </c>
      <c r="D2" s="17" t="n">
        <f aca="false">11</f>
        <v>11</v>
      </c>
      <c r="E2" s="16" t="s">
        <v>178</v>
      </c>
    </row>
    <row r="3" customFormat="false" ht="15" hidden="false" customHeight="false" outlineLevel="0" collapsed="false">
      <c r="A3" s="18" t="s">
        <v>28</v>
      </c>
      <c r="B3" s="18" t="s">
        <v>72</v>
      </c>
      <c r="C3" s="18" t="s">
        <v>179</v>
      </c>
      <c r="D3" s="19" t="n">
        <f aca="false">11</f>
        <v>11</v>
      </c>
      <c r="E3" s="18" t="s">
        <v>180</v>
      </c>
    </row>
    <row r="4" customFormat="false" ht="15" hidden="false" customHeight="false" outlineLevel="0" collapsed="false">
      <c r="A4" s="16" t="s">
        <v>30</v>
      </c>
      <c r="B4" s="16" t="s">
        <v>181</v>
      </c>
      <c r="C4" s="16" t="s">
        <v>182</v>
      </c>
      <c r="D4" s="17" t="n">
        <f aca="false">8</f>
        <v>8</v>
      </c>
      <c r="E4" s="16" t="s">
        <v>183</v>
      </c>
    </row>
    <row r="5" customFormat="false" ht="15" hidden="false" customHeight="false" outlineLevel="0" collapsed="false">
      <c r="A5" s="18" t="s">
        <v>32</v>
      </c>
      <c r="B5" s="18" t="s">
        <v>184</v>
      </c>
      <c r="C5" s="18" t="s">
        <v>185</v>
      </c>
      <c r="D5" s="19" t="n">
        <f aca="false">11</f>
        <v>11</v>
      </c>
      <c r="E5" s="18" t="s">
        <v>186</v>
      </c>
    </row>
    <row r="6" customFormat="false" ht="15" hidden="false" customHeight="false" outlineLevel="0" collapsed="false">
      <c r="A6" s="16" t="s">
        <v>34</v>
      </c>
      <c r="B6" s="16" t="s">
        <v>109</v>
      </c>
      <c r="C6" s="16" t="s">
        <v>187</v>
      </c>
      <c r="D6" s="17" t="n">
        <f aca="false">10</f>
        <v>10</v>
      </c>
      <c r="E6" s="16" t="s">
        <v>188</v>
      </c>
    </row>
    <row r="7" customFormat="false" ht="26.85" hidden="false" customHeight="false" outlineLevel="0" collapsed="false">
      <c r="A7" s="18" t="s">
        <v>36</v>
      </c>
      <c r="B7" s="18" t="s">
        <v>189</v>
      </c>
      <c r="C7" s="18" t="s">
        <v>190</v>
      </c>
      <c r="D7" s="19" t="n">
        <f aca="false">10</f>
        <v>10</v>
      </c>
      <c r="E7" s="18" t="s">
        <v>191</v>
      </c>
    </row>
    <row r="9" customFormat="false" ht="15" hidden="false" customHeight="false" outlineLevel="0" collapsed="false">
      <c r="A9" s="20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15" t="s">
        <v>48</v>
      </c>
      <c r="B1" s="15" t="s">
        <v>193</v>
      </c>
      <c r="C1" s="15" t="s">
        <v>194</v>
      </c>
      <c r="D1" s="15" t="s">
        <v>195</v>
      </c>
    </row>
    <row r="2" customFormat="false" ht="26.85" hidden="false" customHeight="false" outlineLevel="0" collapsed="false">
      <c r="A2" s="16" t="s">
        <v>57</v>
      </c>
      <c r="B2" s="16" t="s">
        <v>196</v>
      </c>
      <c r="C2" s="16" t="s">
        <v>197</v>
      </c>
      <c r="D2" s="16" t="s">
        <v>198</v>
      </c>
    </row>
    <row r="3" customFormat="false" ht="26.85" hidden="false" customHeight="false" outlineLevel="0" collapsed="false">
      <c r="A3" s="18" t="s">
        <v>76</v>
      </c>
      <c r="B3" s="18" t="s">
        <v>199</v>
      </c>
      <c r="C3" s="18" t="s">
        <v>200</v>
      </c>
      <c r="D3" s="18" t="s">
        <v>201</v>
      </c>
    </row>
    <row r="4" customFormat="false" ht="26.85" hidden="false" customHeight="false" outlineLevel="0" collapsed="false">
      <c r="A4" s="16" t="s">
        <v>93</v>
      </c>
      <c r="B4" s="16" t="s">
        <v>202</v>
      </c>
      <c r="C4" s="16" t="s">
        <v>203</v>
      </c>
      <c r="D4" s="16" t="s">
        <v>204</v>
      </c>
    </row>
    <row r="5" customFormat="false" ht="26.85" hidden="false" customHeight="false" outlineLevel="0" collapsed="false">
      <c r="A5" s="18" t="s">
        <v>134</v>
      </c>
      <c r="B5" s="18" t="s">
        <v>205</v>
      </c>
      <c r="C5" s="18" t="s">
        <v>206</v>
      </c>
      <c r="D5" s="18" t="s">
        <v>207</v>
      </c>
    </row>
    <row r="6" customFormat="false" ht="26.85" hidden="false" customHeight="false" outlineLevel="0" collapsed="false">
      <c r="A6" s="21" t="s">
        <v>128</v>
      </c>
      <c r="B6" s="22" t="s">
        <v>208</v>
      </c>
      <c r="C6" s="22" t="s">
        <v>209</v>
      </c>
      <c r="D6" s="22" t="s">
        <v>210</v>
      </c>
    </row>
    <row r="7" customFormat="false" ht="26.85" hidden="false" customHeight="false" outlineLevel="0" collapsed="false">
      <c r="A7" s="18" t="s">
        <v>104</v>
      </c>
      <c r="B7" s="18" t="s">
        <v>211</v>
      </c>
      <c r="C7" s="18" t="s">
        <v>212</v>
      </c>
      <c r="D7" s="18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2026-06-17T15:23:58Z</dcterms:created>
  <dc:creator>openpyxl</dc:creator>
  <dc:description/>
  <dc:language>en-US</dc:language>
  <cp:lastModifiedBy/>
  <dcterms:modified xsi:type="dcterms:W3CDTF">2026-06-17T15:23:58Z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
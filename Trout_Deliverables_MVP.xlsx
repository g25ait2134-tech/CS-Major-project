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eliverables" sheetId="2" state="visible" r:id="rId4"/>
    <sheet name="By Owner" sheetId="3" state="visible" r:id="rId5"/>
    <sheet name="Milestones" sheetId="4" state="visible" r:id="rId6"/>
  </sheets>
  <definedNames>
    <definedName function="false" hidden="true" localSheetId="1" name="_xlnm._FilterDatabase" vbProcedure="false">Deliverables!$A$1:$K$42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<sst xmlns="http://schemas.openxmlformats.org/spreadsheetml/2006/main" count="478" uniqueCount="252">
  <si>
    <t xml:space="preserve">Trout Threshold ECDSA - MVP Deliverables Tracker (Java)</t>
  </si>
  <si>
    <t xml:space="preserve">Project</t>
  </si>
  <si>
    <t xml:space="preserve">From-scratch Java implementation of Trout (ACM CCS 2025 / ePrint 2025/1666)</t>
  </si>
  <si>
    <t xml:space="preserve">Course</t>
  </si>
  <si>
    <t xml:space="preserve">Cybersecurity coursework</t>
  </si>
  <si>
    <t xml:space="preserve">Team size</t>
  </si>
  <si>
    <t xml:space="preserve">6 - all developing in Java</t>
  </si>
  <si>
    <t xml:space="preserve">Scope of this tracker</t>
  </si>
  <si>
    <t xml:space="preserve">MVP / Phase 1 (security-with-abort, target config 2-of-3)</t>
  </si>
  <si>
    <t xml:space="preserve">Stack</t>
  </si>
  <si>
    <t xml:space="preserve">Java 17+, Maven/Gradle multi-module, JUnit 5, Bouncy Castle (secp256k1), SHA-256</t>
  </si>
  <si>
    <t xml:space="preserve">How to use</t>
  </si>
  <si>
    <t xml:space="preserve">Owners update Status + % Complete. Filter by Owner for individual task lists.</t>
  </si>
  <si>
    <t xml:space="preserve">Status values</t>
  </si>
  <si>
    <t xml:space="preserve">Not Started / In Progress / Blocked / In Review / Done</t>
  </si>
  <si>
    <t xml:space="preserve">Phase legend</t>
  </si>
  <si>
    <t xml:space="preserve">P1 = MVP (must-have, green).  P2 = Stretch (bonus, orange).</t>
  </si>
  <si>
    <t xml:space="preserve">Critical path</t>
  </si>
  <si>
    <t xml:space="preserve">core -&gt; classgroup -&gt; crypto/zk -&gt; protocol -&gt; app. Class group blocks all; start day one.</t>
  </si>
  <si>
    <t xml:space="preserve">Java note</t>
  </si>
  <si>
    <t xml:space="preserve">Use hand-written trout-wire codec for crypto bytes; never java.io.Serializable. BigInteger is variable-time, so constant-time is out of MVP scope.</t>
  </si>
  <si>
    <t xml:space="preserve">Owners (Maven module)</t>
  </si>
  <si>
    <t xml:space="preserve">Person A</t>
  </si>
  <si>
    <t xml:space="preserve">trout-core - foundations &amp; parameters</t>
  </si>
  <si>
    <t xml:space="preserve">Person B</t>
  </si>
  <si>
    <t xml:space="preserve">trout-classgroup - class-group arithmetic (critical path)</t>
  </si>
  <si>
    <t xml:space="preserve">Person C</t>
  </si>
  <si>
    <t xml:space="preserve">trout-crypto - CL encryption &amp; commitments</t>
  </si>
  <si>
    <t xml:space="preserve">Person D</t>
  </si>
  <si>
    <t xml:space="preserve">trout-zk - zero-knowledge proofs + eVRF</t>
  </si>
  <si>
    <t xml:space="preserve">Person E</t>
  </si>
  <si>
    <t xml:space="preserve">trout-protocol - DKG, signing, abort</t>
  </si>
  <si>
    <t xml:space="preserve">Person F</t>
  </si>
  <si>
    <t xml:space="preserve">trout-app + trout-wire - orchestration, tests, demo</t>
  </si>
  <si>
    <t xml:space="preserve">ID</t>
  </si>
  <si>
    <t xml:space="preserve">Module</t>
  </si>
  <si>
    <t xml:space="preserve">Phase</t>
  </si>
  <si>
    <t xml:space="preserve">Deliverable</t>
  </si>
  <si>
    <t xml:space="preserve">Description / Acceptance criteria</t>
  </si>
  <si>
    <t xml:space="preserve">Owner</t>
  </si>
  <si>
    <t xml:space="preserve">Depends on</t>
  </si>
  <si>
    <t xml:space="preserve">Est. days</t>
  </si>
  <si>
    <t xml:space="preserve">Status</t>
  </si>
  <si>
    <t xml:space="preserve">% Complete</t>
  </si>
  <si>
    <t xml:space="preserve">Milestone</t>
  </si>
  <si>
    <t xml:space="preserve">D01</t>
  </si>
  <si>
    <t xml:space="preserve">trout-wire</t>
  </si>
  <si>
    <t xml:space="preserve">P1</t>
  </si>
  <si>
    <t xml:space="preserve">Serialization codec spec</t>
  </si>
  <si>
    <t xml:space="preserve">Canonical big-endian byte layout for class-group elements + all messages; round-trips. NOT java.io.Serializable</t>
  </si>
  <si>
    <t xml:space="preserve">B/D/F</t>
  </si>
  <si>
    <t xml:space="preserve">D11</t>
  </si>
  <si>
    <t xml:space="preserve">Not Started</t>
  </si>
  <si>
    <t xml:space="preserve">M3</t>
  </si>
  <si>
    <t xml:space="preserve">D02</t>
  </si>
  <si>
    <t xml:space="preserve">Fiat-Shamir transcript spec</t>
  </si>
  <si>
    <t xml:space="preserve">Exact absorb order, domain tags, SHA-256 challenge reduction; identical prover/verifier bytes</t>
  </si>
  <si>
    <t xml:space="preserve">-</t>
  </si>
  <si>
    <t xml:space="preserve">D03</t>
  </si>
  <si>
    <t xml:space="preserve">trout-core</t>
  </si>
  <si>
    <t xml:space="preserve">Cross-module KAT file</t>
  </si>
  <si>
    <t xml:space="preserve">Seeded (deterministic SecureRandom) test vectors all modules assert against</t>
  </si>
  <si>
    <t xml:space="preserve">A</t>
  </si>
  <si>
    <t xml:space="preserve">M1</t>
  </si>
  <si>
    <t xml:space="preserve">D10</t>
  </si>
  <si>
    <t xml:space="preserve">Maven multi-module skeleton</t>
  </si>
  <si>
    <t xml:space="preserve">6 modules wired with dependency edges; CI builds; JUnit runs</t>
  </si>
  <si>
    <t xml:space="preserve">A/F</t>
  </si>
  <si>
    <t xml:space="preserve">BigInteger fixed-width helpers</t>
  </si>
  <si>
    <t xml:space="preserve">toFixed/fromFixed big-endian padding; round-trip tests</t>
  </si>
  <si>
    <t xml:space="preserve">D12</t>
  </si>
  <si>
    <t xml:space="preserve">Prime &amp; discriminant generation</t>
  </si>
  <si>
    <t xml:space="preserve">genPrime + genDiscriminant meeting paper size/form conditions</t>
  </si>
  <si>
    <t xml:space="preserve">D13</t>
  </si>
  <si>
    <t xml:space="preserve">Public parameter setup</t>
  </si>
  <si>
    <t xml:space="preserve">setup(lambda) -&gt; Params, transparent, no trusted secret</t>
  </si>
  <si>
    <t xml:space="preserve">D14</t>
  </si>
  <si>
    <t xml:space="preserve">Param/KAT unit tests (JUnit)</t>
  </si>
  <si>
    <t xml:space="preserve">Seeded reproducibility + independent primality check</t>
  </si>
  <si>
    <t xml:space="preserve">D13,D03</t>
  </si>
  <si>
    <t xml:space="preserve">D20</t>
  </si>
  <si>
    <t xml:space="preserve">trout-classgroup</t>
  </si>
  <si>
    <t xml:space="preserve">Bqf type + reduction</t>
  </si>
  <si>
    <t xml:space="preserve">reduce() to canonical |b|&lt;=a&lt;=c; KAT vectors</t>
  </si>
  <si>
    <t xml:space="preserve">B</t>
  </si>
  <si>
    <t xml:space="preserve">D21</t>
  </si>
  <si>
    <t xml:space="preserve">Composition</t>
  </si>
  <si>
    <t xml:space="preserve">compose() Gauss schoolbook; KAT vectors</t>
  </si>
  <si>
    <t xml:space="preserve">D22</t>
  </si>
  <si>
    <t xml:space="preserve">Exponentiation + inverse</t>
  </si>
  <si>
    <t xml:space="preserve">exp() square-and-multiply, inverse(); homomorphism property test</t>
  </si>
  <si>
    <t xml:space="preserve">D23</t>
  </si>
  <si>
    <t xml:space="preserve">Canonical serialization</t>
  </si>
  <si>
    <t xml:space="preserve">serialize/deserialize per D01; round-trip test</t>
  </si>
  <si>
    <t xml:space="preserve">D21,D01</t>
  </si>
  <si>
    <t xml:space="preserve">D24</t>
  </si>
  <si>
    <t xml:space="preserve">P2</t>
  </si>
  <si>
    <t xml:space="preserve">Best-effort constant-time exp</t>
  </si>
  <si>
    <t xml:space="preserve">Documented experiment; note JVM limits (HLD 6.4)</t>
  </si>
  <si>
    <t xml:space="preserve">M6</t>
  </si>
  <si>
    <t xml:space="preserve">D30</t>
  </si>
  <si>
    <t xml:space="preserve">trout-crypto</t>
  </si>
  <si>
    <t xml:space="preserve">CL keygen</t>
  </si>
  <si>
    <t xml:space="preserve">clKeygen(params) -&gt; ClKeyPair</t>
  </si>
  <si>
    <t xml:space="preserve">C</t>
  </si>
  <si>
    <t xml:space="preserve">M2</t>
  </si>
  <si>
    <t xml:space="preserve">D31</t>
  </si>
  <si>
    <t xml:space="preserve">CL encrypt / decrypt</t>
  </si>
  <si>
    <t xml:space="preserve">Round-trip clDecrypt(clEncrypt(m))==m incl. dlog-in-F step</t>
  </si>
  <si>
    <t xml:space="preserve">D32</t>
  </si>
  <si>
    <t xml:space="preserve">Homomorphic ops</t>
  </si>
  <si>
    <t xml:space="preserve">clAdd + clScalar; homomorphism JUnit tests</t>
  </si>
  <si>
    <t xml:space="preserve">D33</t>
  </si>
  <si>
    <t xml:space="preserve">Commitment scheme</t>
  </si>
  <si>
    <t xml:space="preserve">commit/open, hiding+binding; tamper tests reject</t>
  </si>
  <si>
    <t xml:space="preserve">D40</t>
  </si>
  <si>
    <t xml:space="preserve">trout-zk</t>
  </si>
  <si>
    <t xml:space="preserve">Transcript builder</t>
  </si>
  <si>
    <t xml:space="preserve">Transcript(absorb/challenge) per D02 (SHA-256)</t>
  </si>
  <si>
    <t xml:space="preserve">D</t>
  </si>
  <si>
    <t xml:space="preserve">D41</t>
  </si>
  <si>
    <t xml:space="preserve">Sigma proof: dlog</t>
  </si>
  <si>
    <t xml:space="preserve">prove/verify knowledge of discrete log in class group</t>
  </si>
  <si>
    <t xml:space="preserve">D40,D22</t>
  </si>
  <si>
    <t xml:space="preserve">D42</t>
  </si>
  <si>
    <t xml:space="preserve">Sigma proof: encCorrect</t>
  </si>
  <si>
    <t xml:space="preserve">Ciphertext encrypts a committed value; completeness+soundness tests</t>
  </si>
  <si>
    <t xml:space="preserve">D41,D32,D33</t>
  </si>
  <si>
    <t xml:space="preserve">D43</t>
  </si>
  <si>
    <t xml:space="preserve">Additional relations (Appendix A)</t>
  </si>
  <si>
    <t xml:space="preserve">Remaining MVP relations needed by signing</t>
  </si>
  <si>
    <t xml:space="preserve">D44</t>
  </si>
  <si>
    <t xml:space="preserve">Exponent-VRF (eVRF)</t>
  </si>
  <si>
    <t xml:space="preserve">DDH-based eVRF construction + tests</t>
  </si>
  <si>
    <t xml:space="preserve">D50</t>
  </si>
  <si>
    <t xml:space="preserve">trout-protocol</t>
  </si>
  <si>
    <t xml:space="preserve">Party state machine</t>
  </si>
  <si>
    <t xml:space="preserve">sealed ProtocolMessage; INIT/DKG/READY/SIGN/ABORT transitions</t>
  </si>
  <si>
    <t xml:space="preserve">E</t>
  </si>
  <si>
    <t xml:space="preserve">D32,D33,D43</t>
  </si>
  <si>
    <t xml:space="preserve">M4</t>
  </si>
  <si>
    <t xml:space="preserve">D51</t>
  </si>
  <si>
    <t xml:space="preserve">DKG rounds 1-2</t>
  </si>
  <si>
    <t xml:space="preserve">Commit-then-reveal coeffs; share distribution (private channel)</t>
  </si>
  <si>
    <t xml:space="preserve">D52</t>
  </si>
  <si>
    <t xml:space="preserve">DKG finalize / VSS verify</t>
  </si>
  <si>
    <t xml:space="preserve">All honest parties derive same pubKey; consistent shares</t>
  </si>
  <si>
    <t xml:space="preserve">D53</t>
  </si>
  <si>
    <t xml:space="preserve">Signing round 1</t>
  </si>
  <si>
    <t xml:space="preserve">Nonce material + ZK proofs per paper</t>
  </si>
  <si>
    <t xml:space="preserve">D52,D43</t>
  </si>
  <si>
    <t xml:space="preserve">M5</t>
  </si>
  <si>
    <t xml:space="preserve">D54</t>
  </si>
  <si>
    <t xml:space="preserve">Signing round 2 + finalize</t>
  </si>
  <si>
    <t xml:space="preserve">Combine/decrypt, assemble (r,s); verifies via Bouncy Castle ECDSA</t>
  </si>
  <si>
    <t xml:space="preserve">D55</t>
  </si>
  <si>
    <t xml:space="preserve">Abort handling</t>
  </si>
  <si>
    <t xml:space="preserve">Failed check -&gt; clean abort with reason</t>
  </si>
  <si>
    <t xml:space="preserve">D56</t>
  </si>
  <si>
    <t xml:space="preserve">Scaled decryption</t>
  </si>
  <si>
    <t xml:space="preserve">Multiply-encrypted-by-committed + decrypt sub-protocol</t>
  </si>
  <si>
    <t xml:space="preserve">D57</t>
  </si>
  <si>
    <t xml:space="preserve">Identifiable Abort</t>
  </si>
  <si>
    <t xml:space="preserve">Attribute fault to a specific party</t>
  </si>
  <si>
    <t xml:space="preserve">D55,D56</t>
  </si>
  <si>
    <t xml:space="preserve">D58</t>
  </si>
  <si>
    <t xml:space="preserve">General t-of-n</t>
  </si>
  <si>
    <t xml:space="preserve">Scale beyond 2-of-3 (e.g. 67-of-100)</t>
  </si>
  <si>
    <t xml:space="preserve">D60</t>
  </si>
  <si>
    <t xml:space="preserve">trout-app</t>
  </si>
  <si>
    <t xml:space="preserve">Envelope + transport</t>
  </si>
  <si>
    <t xml:space="preserve">JSON envelope (Jackson), broadcast + point-to-point routing</t>
  </si>
  <si>
    <t xml:space="preserve">F</t>
  </si>
  <si>
    <t xml:space="preserve">D61</t>
  </si>
  <si>
    <t xml:space="preserve">Orchestrator (in-JVM mocks)</t>
  </si>
  <si>
    <t xml:space="preserve">Virtual-thread party loops with mocked core; unblocks before protocol ready</t>
  </si>
  <si>
    <t xml:space="preserve">D62</t>
  </si>
  <si>
    <t xml:space="preserve">End-to-end integration test</t>
  </si>
  <si>
    <t xml:space="preserve">Full 2-of-3 happy path -&gt; verifying signature (JUnit)</t>
  </si>
  <si>
    <t xml:space="preserve">D54,D60</t>
  </si>
  <si>
    <t xml:space="preserve">D63</t>
  </si>
  <si>
    <t xml:space="preserve">Fault-injection tests</t>
  </si>
  <si>
    <t xml:space="preserve">Dropped/corrupted msg surfaces abort correctly</t>
  </si>
  <si>
    <t xml:space="preserve">D55,D62</t>
  </si>
  <si>
    <t xml:space="preserve">D64</t>
  </si>
  <si>
    <t xml:space="preserve">MVP demo</t>
  </si>
  <si>
    <t xml:space="preserve">Scripted live 2-of-3 sign + verify (runnable main)</t>
  </si>
  <si>
    <t xml:space="preserve">D65</t>
  </si>
  <si>
    <t xml:space="preserve">Benchmark harness</t>
  </si>
  <si>
    <t xml:space="preserve">Time each phase across configs; charts</t>
  </si>
  <si>
    <t xml:space="preserve">D70</t>
  </si>
  <si>
    <t xml:space="preserve">Docs</t>
  </si>
  <si>
    <t xml:space="preserve">HLD document</t>
  </si>
  <si>
    <t xml:space="preserve">Architecture, threat model, phasing (this set)</t>
  </si>
  <si>
    <t xml:space="preserve">E/F</t>
  </si>
  <si>
    <t xml:space="preserve">In Review</t>
  </si>
  <si>
    <t xml:space="preserve">D71</t>
  </si>
  <si>
    <t xml:space="preserve">Per-module LLDs</t>
  </si>
  <si>
    <t xml:space="preserve">Each owner writes own module LLD</t>
  </si>
  <si>
    <t xml:space="preserve">All</t>
  </si>
  <si>
    <t xml:space="preserve">In Progress</t>
  </si>
  <si>
    <t xml:space="preserve">D72</t>
  </si>
  <si>
    <t xml:space="preserve">Final report</t>
  </si>
  <si>
    <t xml:space="preserve">Threat model, design rationale, limitations, results</t>
  </si>
  <si>
    <t xml:space="preserve">D73</t>
  </si>
  <si>
    <t xml:space="preserve">README + 'not for production' notice</t>
  </si>
  <si>
    <t xml:space="preserve">Build/run (mvn) instructions + disclaimer</t>
  </si>
  <si>
    <t xml:space="preserve">Summary</t>
  </si>
  <si>
    <t xml:space="preserve">Total deliverables</t>
  </si>
  <si>
    <t xml:space="preserve">MVP (P1) count</t>
  </si>
  <si>
    <t xml:space="preserve">Stretch (P2) count</t>
  </si>
  <si>
    <t xml:space="preserve">MVP est. days (sum)</t>
  </si>
  <si>
    <t xml:space="preserve">Done count</t>
  </si>
  <si>
    <t xml:space="preserve">Maven module</t>
  </si>
  <si>
    <t xml:space="preserve">MVP deliverable IDs</t>
  </si>
  <si>
    <t xml:space="preserve">MVP est. days</t>
  </si>
  <si>
    <t xml:space="preserve">Notes</t>
  </si>
  <si>
    <t xml:space="preserve">D03,D10*,D11,D12,D13,D14</t>
  </si>
  <si>
    <t xml:space="preserve">Critical-path feeder; pair with B early; co-owns build skeleton</t>
  </si>
  <si>
    <t xml:space="preserve">D01*,D20,D21,D22,D23</t>
  </si>
  <si>
    <t xml:space="preserve">Hardest module; on critical path; start day one</t>
  </si>
  <si>
    <t xml:space="preserve">D30,D31,D32,D33</t>
  </si>
  <si>
    <t xml:space="preserve">Blocked until classgroup exp works</t>
  </si>
  <si>
    <t xml:space="preserve">D02*,D40,D41,D42,D43</t>
  </si>
  <si>
    <t xml:space="preserve">Owns transcript spec; eVRF is P2</t>
  </si>
  <si>
    <t xml:space="preserve">D50,D51,D52,D53,D54,D55,D70</t>
  </si>
  <si>
    <t xml:space="preserve">Densest spec; fill round msgs from paper first</t>
  </si>
  <si>
    <t xml:space="preserve">trout-app + trout-wire</t>
  </si>
  <si>
    <t xml:space="preserve">D60,D61,D62,D63,D64,D73</t>
  </si>
  <si>
    <t xml:space="preserve">Scaffold mocks to start before protocol; co-owns wire+build</t>
  </si>
  <si>
    <t xml:space="preserve">* shared/co-owned deliverable. MVP days are core module estimates; docs/tests counted separately.</t>
  </si>
  <si>
    <t xml:space="preserve">Target</t>
  </si>
  <si>
    <t xml:space="preserve">Gate / definition of done</t>
  </si>
  <si>
    <t xml:space="preserve">Key deliverables</t>
  </si>
  <si>
    <t xml:space="preserve">Foundations</t>
  </si>
  <si>
    <t xml:space="preserve">core + classgroup correct, KAT vectors pass; Maven build green</t>
  </si>
  <si>
    <t xml:space="preserve">D03,D10-D14,D20-D22</t>
  </si>
  <si>
    <t xml:space="preserve">Encryption</t>
  </si>
  <si>
    <t xml:space="preserve">CL enc + commitments pass round-trip &amp; homomorphic tests</t>
  </si>
  <si>
    <t xml:space="preserve">D30-D33</t>
  </si>
  <si>
    <t xml:space="preserve">ZK + spec freeze</t>
  </si>
  <si>
    <t xml:space="preserve">Sigma proofs verify; trout-wire serialization/transcript frozen</t>
  </si>
  <si>
    <t xml:space="preserve">D01,D02,D23,D40-D43</t>
  </si>
  <si>
    <t xml:space="preserve">DKG</t>
  </si>
  <si>
    <t xml:space="preserve">All honest parties derive same pubKey + consistent shares</t>
  </si>
  <si>
    <t xml:space="preserve">D50-D52,D60,D61</t>
  </si>
  <si>
    <t xml:space="preserve">MVP DEMO</t>
  </si>
  <si>
    <t xml:space="preserve">2-of-3 end-to-end signature verifies (Phase 1 complete)</t>
  </si>
  <si>
    <t xml:space="preserve">D53-D55,D62-D64,D72,D73</t>
  </si>
  <si>
    <t xml:space="preserve">Stretch</t>
  </si>
  <si>
    <t xml:space="preserve">eVRF, scaled decryption, IA, t-of-n, best-effort constant-time</t>
  </si>
  <si>
    <t xml:space="preserve">D24,D44,D56-D58,D65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</si>
</sst>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2"/>
  </cols>
  <sheetData>
    <row r="1" customFormat="false" ht="17.3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3" t="s">
        <v>5</v>
      </c>
      <c r="B5" s="2" t="s">
        <v>6</v>
      </c>
    </row>
    <row r="6" customFormat="false" ht="15" hidden="false" customHeight="false" outlineLevel="0" collapsed="false">
      <c r="A6" s="3" t="s">
        <v>7</v>
      </c>
      <c r="B6" s="2" t="s">
        <v>8</v>
      </c>
    </row>
    <row r="7" customFormat="false" ht="1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3" t="s">
        <v>11</v>
      </c>
      <c r="B9" s="2" t="s">
        <v>12</v>
      </c>
    </row>
    <row r="10" customFormat="false" ht="15" hidden="false" customHeight="false" outlineLevel="0" collapsed="false">
      <c r="A10" s="3" t="s">
        <v>13</v>
      </c>
      <c r="B10" s="2" t="s">
        <v>14</v>
      </c>
    </row>
    <row r="11" customFormat="false" ht="15" hidden="false" customHeight="false" outlineLevel="0" collapsed="false">
      <c r="A11" s="3" t="s">
        <v>15</v>
      </c>
      <c r="B11" s="2" t="s">
        <v>16</v>
      </c>
    </row>
    <row r="12" customFormat="false" ht="15" hidden="false" customHeight="false" outlineLevel="0" collapsed="false">
      <c r="A12" s="3" t="s">
        <v>17</v>
      </c>
      <c r="B12" s="2" t="s">
        <v>18</v>
      </c>
    </row>
    <row r="13" customFormat="false" ht="26.85" hidden="false" customHeight="false" outlineLevel="0" collapsed="false">
      <c r="A13" s="3" t="s">
        <v>19</v>
      </c>
      <c r="B13" s="2" t="s">
        <v>20</v>
      </c>
    </row>
    <row r="14" customFormat="false" ht="15" hidden="false" customHeight="false" outlineLevel="0" collapsed="false">
      <c r="A14" s="2"/>
      <c r="B14" s="2"/>
    </row>
    <row r="15" customFormat="false" ht="26.85" hidden="false" customHeight="false" outlineLevel="0" collapsed="false">
      <c r="A15" s="4" t="s">
        <v>21</v>
      </c>
      <c r="B15" s="2"/>
    </row>
    <row r="16" customFormat="false" ht="15" hidden="false" customHeight="false" outlineLevel="0" collapsed="false">
      <c r="A16" s="3" t="s">
        <v>22</v>
      </c>
      <c r="B16" s="2" t="s">
        <v>23</v>
      </c>
    </row>
    <row r="17" customFormat="false" ht="15" hidden="false" customHeight="false" outlineLevel="0" collapsed="false">
      <c r="A17" s="3" t="s">
        <v>24</v>
      </c>
      <c r="B17" s="2" t="s">
        <v>25</v>
      </c>
    </row>
    <row r="18" customFormat="false" ht="15" hidden="false" customHeight="false" outlineLevel="0" collapsed="false">
      <c r="A18" s="3" t="s">
        <v>26</v>
      </c>
      <c r="B18" s="2" t="s">
        <v>27</v>
      </c>
    </row>
    <row r="19" customFormat="false" ht="15" hidden="false" customHeight="false" outlineLevel="0" collapsed="false">
      <c r="A19" s="3" t="s">
        <v>28</v>
      </c>
      <c r="B19" s="2" t="s">
        <v>29</v>
      </c>
    </row>
    <row r="20" customFormat="false" ht="15" hidden="false" customHeight="false" outlineLevel="0" collapsed="false">
      <c r="A20" s="3" t="s">
        <v>30</v>
      </c>
      <c r="B20" s="2" t="s">
        <v>31</v>
      </c>
    </row>
    <row r="21" customFormat="false" ht="15" hidden="false" customHeight="false" outlineLevel="0" collapsed="false">
      <c r="A21" s="3" t="s">
        <v>32</v>
      </c>
      <c r="B21" s="2" t="s">
        <v>33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30"/>
    <col collapsed="false" customWidth="true" hidden="false" outlineLevel="0" max="5" min="5" style="0" width="50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</row>
    <row r="2" customFormat="false" ht="39.55" hidden="false" customHeight="false" outlineLevel="0" collapsed="false">
      <c r="A2" s="6" t="s">
        <v>45</v>
      </c>
      <c r="B2" s="6" t="s">
        <v>46</v>
      </c>
      <c r="C2" s="7" t="s">
        <v>47</v>
      </c>
      <c r="D2" s="6" t="s">
        <v>48</v>
      </c>
      <c r="E2" s="6" t="s">
        <v>49</v>
      </c>
      <c r="F2" s="6" t="s">
        <v>50</v>
      </c>
      <c r="G2" s="6" t="s">
        <v>51</v>
      </c>
      <c r="H2" s="7" t="n">
        <v>3</v>
      </c>
      <c r="I2" s="6" t="s">
        <v>52</v>
      </c>
      <c r="J2" s="8" t="n">
        <v>0</v>
      </c>
      <c r="K2" s="6" t="s">
        <v>53</v>
      </c>
    </row>
    <row r="3" customFormat="false" ht="26.85" hidden="false" customHeight="false" outlineLevel="0" collapsed="false">
      <c r="A3" s="6" t="s">
        <v>54</v>
      </c>
      <c r="B3" s="6" t="s">
        <v>46</v>
      </c>
      <c r="C3" s="7" t="s">
        <v>47</v>
      </c>
      <c r="D3" s="6" t="s">
        <v>55</v>
      </c>
      <c r="E3" s="6" t="s">
        <v>56</v>
      </c>
      <c r="F3" s="6" t="s">
        <v>50</v>
      </c>
      <c r="G3" s="6" t="s">
        <v>57</v>
      </c>
      <c r="H3" s="7" t="n">
        <v>2</v>
      </c>
      <c r="I3" s="6" t="s">
        <v>52</v>
      </c>
      <c r="J3" s="8" t="n">
        <v>0</v>
      </c>
      <c r="K3" s="6" t="s">
        <v>53</v>
      </c>
    </row>
    <row r="4" customFormat="false" ht="26.85" hidden="false" customHeight="false" outlineLevel="0" collapsed="false">
      <c r="A4" s="6" t="s">
        <v>58</v>
      </c>
      <c r="B4" s="6" t="s">
        <v>59</v>
      </c>
      <c r="C4" s="7" t="s">
        <v>47</v>
      </c>
      <c r="D4" s="6" t="s">
        <v>60</v>
      </c>
      <c r="E4" s="6" t="s">
        <v>61</v>
      </c>
      <c r="F4" s="6" t="s">
        <v>62</v>
      </c>
      <c r="G4" s="6" t="s">
        <v>57</v>
      </c>
      <c r="H4" s="7" t="n">
        <v>2</v>
      </c>
      <c r="I4" s="6" t="s">
        <v>52</v>
      </c>
      <c r="J4" s="8" t="n">
        <v>0</v>
      </c>
      <c r="K4" s="6" t="s">
        <v>63</v>
      </c>
    </row>
    <row r="5" customFormat="false" ht="26.85" hidden="false" customHeight="false" outlineLevel="0" collapsed="false">
      <c r="A5" s="6" t="s">
        <v>64</v>
      </c>
      <c r="B5" s="6" t="s">
        <v>59</v>
      </c>
      <c r="C5" s="7" t="s">
        <v>47</v>
      </c>
      <c r="D5" s="6" t="s">
        <v>65</v>
      </c>
      <c r="E5" s="6" t="s">
        <v>66</v>
      </c>
      <c r="F5" s="6" t="s">
        <v>67</v>
      </c>
      <c r="G5" s="6" t="s">
        <v>57</v>
      </c>
      <c r="H5" s="7" t="n">
        <v>2</v>
      </c>
      <c r="I5" s="6" t="s">
        <v>52</v>
      </c>
      <c r="J5" s="8" t="n">
        <v>0</v>
      </c>
      <c r="K5" s="6" t="s">
        <v>63</v>
      </c>
    </row>
    <row r="6" customFormat="false" ht="26.85" hidden="false" customHeight="false" outlineLevel="0" collapsed="false">
      <c r="A6" s="6" t="s">
        <v>51</v>
      </c>
      <c r="B6" s="6" t="s">
        <v>59</v>
      </c>
      <c r="C6" s="7" t="s">
        <v>47</v>
      </c>
      <c r="D6" s="6" t="s">
        <v>68</v>
      </c>
      <c r="E6" s="6" t="s">
        <v>69</v>
      </c>
      <c r="F6" s="6" t="s">
        <v>62</v>
      </c>
      <c r="G6" s="6" t="s">
        <v>64</v>
      </c>
      <c r="H6" s="7" t="n">
        <v>2</v>
      </c>
      <c r="I6" s="6" t="s">
        <v>52</v>
      </c>
      <c r="J6" s="8" t="n">
        <v>0</v>
      </c>
      <c r="K6" s="6" t="s">
        <v>63</v>
      </c>
    </row>
    <row r="7" customFormat="false" ht="26.85" hidden="false" customHeight="false" outlineLevel="0" collapsed="false">
      <c r="A7" s="6" t="s">
        <v>70</v>
      </c>
      <c r="B7" s="6" t="s">
        <v>59</v>
      </c>
      <c r="C7" s="7" t="s">
        <v>47</v>
      </c>
      <c r="D7" s="6" t="s">
        <v>71</v>
      </c>
      <c r="E7" s="6" t="s">
        <v>72</v>
      </c>
      <c r="F7" s="6" t="s">
        <v>62</v>
      </c>
      <c r="G7" s="6" t="s">
        <v>51</v>
      </c>
      <c r="H7" s="7" t="n">
        <v>3</v>
      </c>
      <c r="I7" s="6" t="s">
        <v>52</v>
      </c>
      <c r="J7" s="8" t="n">
        <v>0</v>
      </c>
      <c r="K7" s="6" t="s">
        <v>63</v>
      </c>
    </row>
    <row r="8" customFormat="false" ht="26.85" hidden="false" customHeight="false" outlineLevel="0" collapsed="false">
      <c r="A8" s="6" t="s">
        <v>73</v>
      </c>
      <c r="B8" s="6" t="s">
        <v>59</v>
      </c>
      <c r="C8" s="7" t="s">
        <v>47</v>
      </c>
      <c r="D8" s="6" t="s">
        <v>74</v>
      </c>
      <c r="E8" s="6" t="s">
        <v>75</v>
      </c>
      <c r="F8" s="6" t="s">
        <v>62</v>
      </c>
      <c r="G8" s="6" t="s">
        <v>70</v>
      </c>
      <c r="H8" s="7" t="n">
        <v>2</v>
      </c>
      <c r="I8" s="6" t="s">
        <v>52</v>
      </c>
      <c r="J8" s="8" t="n">
        <v>0</v>
      </c>
      <c r="K8" s="6" t="s">
        <v>63</v>
      </c>
    </row>
    <row r="9" customFormat="false" ht="15" hidden="false" customHeight="false" outlineLevel="0" collapsed="false">
      <c r="A9" s="6" t="s">
        <v>76</v>
      </c>
      <c r="B9" s="6" t="s">
        <v>59</v>
      </c>
      <c r="C9" s="7" t="s">
        <v>47</v>
      </c>
      <c r="D9" s="6" t="s">
        <v>77</v>
      </c>
      <c r="E9" s="6" t="s">
        <v>78</v>
      </c>
      <c r="F9" s="6" t="s">
        <v>62</v>
      </c>
      <c r="G9" s="6" t="s">
        <v>79</v>
      </c>
      <c r="H9" s="7" t="n">
        <v>1</v>
      </c>
      <c r="I9" s="6" t="s">
        <v>52</v>
      </c>
      <c r="J9" s="8" t="n">
        <v>0</v>
      </c>
      <c r="K9" s="6" t="s">
        <v>63</v>
      </c>
    </row>
    <row r="10" customFormat="false" ht="15" hidden="false" customHeight="false" outlineLevel="0" collapsed="false">
      <c r="A10" s="6" t="s">
        <v>80</v>
      </c>
      <c r="B10" s="6" t="s">
        <v>81</v>
      </c>
      <c r="C10" s="7" t="s">
        <v>47</v>
      </c>
      <c r="D10" s="6" t="s">
        <v>82</v>
      </c>
      <c r="E10" s="6" t="s">
        <v>83</v>
      </c>
      <c r="F10" s="6" t="s">
        <v>84</v>
      </c>
      <c r="G10" s="6" t="s">
        <v>73</v>
      </c>
      <c r="H10" s="7" t="n">
        <v>3</v>
      </c>
      <c r="I10" s="6" t="s">
        <v>52</v>
      </c>
      <c r="J10" s="8" t="n">
        <v>0</v>
      </c>
      <c r="K10" s="6" t="s">
        <v>63</v>
      </c>
    </row>
    <row r="11" customFormat="false" ht="15" hidden="false" customHeight="false" outlineLevel="0" collapsed="false">
      <c r="A11" s="6" t="s">
        <v>85</v>
      </c>
      <c r="B11" s="6" t="s">
        <v>81</v>
      </c>
      <c r="C11" s="7" t="s">
        <v>47</v>
      </c>
      <c r="D11" s="6" t="s">
        <v>86</v>
      </c>
      <c r="E11" s="6" t="s">
        <v>87</v>
      </c>
      <c r="F11" s="6" t="s">
        <v>84</v>
      </c>
      <c r="G11" s="6" t="s">
        <v>80</v>
      </c>
      <c r="H11" s="7" t="n">
        <v>4</v>
      </c>
      <c r="I11" s="6" t="s">
        <v>52</v>
      </c>
      <c r="J11" s="8" t="n">
        <v>0</v>
      </c>
      <c r="K11" s="6" t="s">
        <v>63</v>
      </c>
    </row>
    <row r="12" customFormat="false" ht="26.85" hidden="false" customHeight="false" outlineLevel="0" collapsed="false">
      <c r="A12" s="6" t="s">
        <v>88</v>
      </c>
      <c r="B12" s="6" t="s">
        <v>81</v>
      </c>
      <c r="C12" s="7" t="s">
        <v>47</v>
      </c>
      <c r="D12" s="6" t="s">
        <v>89</v>
      </c>
      <c r="E12" s="6" t="s">
        <v>90</v>
      </c>
      <c r="F12" s="6" t="s">
        <v>84</v>
      </c>
      <c r="G12" s="6" t="s">
        <v>85</v>
      </c>
      <c r="H12" s="7" t="n">
        <v>3</v>
      </c>
      <c r="I12" s="6" t="s">
        <v>52</v>
      </c>
      <c r="J12" s="8" t="n">
        <v>0</v>
      </c>
      <c r="K12" s="6" t="s">
        <v>63</v>
      </c>
    </row>
    <row r="13" customFormat="false" ht="15" hidden="false" customHeight="false" outlineLevel="0" collapsed="false">
      <c r="A13" s="6" t="s">
        <v>91</v>
      </c>
      <c r="B13" s="6" t="s">
        <v>81</v>
      </c>
      <c r="C13" s="7" t="s">
        <v>47</v>
      </c>
      <c r="D13" s="6" t="s">
        <v>92</v>
      </c>
      <c r="E13" s="6" t="s">
        <v>93</v>
      </c>
      <c r="F13" s="6" t="s">
        <v>84</v>
      </c>
      <c r="G13" s="6" t="s">
        <v>94</v>
      </c>
      <c r="H13" s="7" t="n">
        <v>2</v>
      </c>
      <c r="I13" s="6" t="s">
        <v>52</v>
      </c>
      <c r="J13" s="8" t="n">
        <v>0</v>
      </c>
      <c r="K13" s="6" t="s">
        <v>53</v>
      </c>
    </row>
    <row r="14" customFormat="false" ht="15" hidden="false" customHeight="false" outlineLevel="0" collapsed="false">
      <c r="A14" s="9" t="s">
        <v>95</v>
      </c>
      <c r="B14" s="9" t="s">
        <v>81</v>
      </c>
      <c r="C14" s="10" t="s">
        <v>96</v>
      </c>
      <c r="D14" s="9" t="s">
        <v>97</v>
      </c>
      <c r="E14" s="9" t="s">
        <v>98</v>
      </c>
      <c r="F14" s="9" t="s">
        <v>84</v>
      </c>
      <c r="G14" s="9" t="s">
        <v>88</v>
      </c>
      <c r="H14" s="10" t="n">
        <v>6</v>
      </c>
      <c r="I14" s="9" t="s">
        <v>52</v>
      </c>
      <c r="J14" s="11" t="n">
        <v>0</v>
      </c>
      <c r="K14" s="9" t="s">
        <v>99</v>
      </c>
    </row>
    <row r="15" customFormat="false" ht="15" hidden="false" customHeight="false" outlineLevel="0" collapsed="false">
      <c r="A15" s="6" t="s">
        <v>100</v>
      </c>
      <c r="B15" s="6" t="s">
        <v>101</v>
      </c>
      <c r="C15" s="7" t="s">
        <v>47</v>
      </c>
      <c r="D15" s="6" t="s">
        <v>102</v>
      </c>
      <c r="E15" s="6" t="s">
        <v>103</v>
      </c>
      <c r="F15" s="6" t="s">
        <v>104</v>
      </c>
      <c r="G15" s="6" t="s">
        <v>88</v>
      </c>
      <c r="H15" s="7" t="n">
        <v>2</v>
      </c>
      <c r="I15" s="6" t="s">
        <v>52</v>
      </c>
      <c r="J15" s="8" t="n">
        <v>0</v>
      </c>
      <c r="K15" s="6" t="s">
        <v>105</v>
      </c>
    </row>
    <row r="16" customFormat="false" ht="26.85" hidden="false" customHeight="false" outlineLevel="0" collapsed="false">
      <c r="A16" s="6" t="s">
        <v>106</v>
      </c>
      <c r="B16" s="6" t="s">
        <v>101</v>
      </c>
      <c r="C16" s="7" t="s">
        <v>47</v>
      </c>
      <c r="D16" s="6" t="s">
        <v>107</v>
      </c>
      <c r="E16" s="6" t="s">
        <v>108</v>
      </c>
      <c r="F16" s="6" t="s">
        <v>104</v>
      </c>
      <c r="G16" s="6" t="s">
        <v>100</v>
      </c>
      <c r="H16" s="7" t="n">
        <v>4</v>
      </c>
      <c r="I16" s="6" t="s">
        <v>52</v>
      </c>
      <c r="J16" s="8" t="n">
        <v>0</v>
      </c>
      <c r="K16" s="6" t="s">
        <v>105</v>
      </c>
    </row>
    <row r="17" customFormat="false" ht="15" hidden="false" customHeight="false" outlineLevel="0" collapsed="false">
      <c r="A17" s="6" t="s">
        <v>109</v>
      </c>
      <c r="B17" s="6" t="s">
        <v>101</v>
      </c>
      <c r="C17" s="7" t="s">
        <v>47</v>
      </c>
      <c r="D17" s="6" t="s">
        <v>110</v>
      </c>
      <c r="E17" s="6" t="s">
        <v>111</v>
      </c>
      <c r="F17" s="6" t="s">
        <v>104</v>
      </c>
      <c r="G17" s="6" t="s">
        <v>106</v>
      </c>
      <c r="H17" s="7" t="n">
        <v>2</v>
      </c>
      <c r="I17" s="6" t="s">
        <v>52</v>
      </c>
      <c r="J17" s="8" t="n">
        <v>0</v>
      </c>
      <c r="K17" s="6" t="s">
        <v>105</v>
      </c>
    </row>
    <row r="18" customFormat="false" ht="15" hidden="false" customHeight="false" outlineLevel="0" collapsed="false">
      <c r="A18" s="6" t="s">
        <v>112</v>
      </c>
      <c r="B18" s="6" t="s">
        <v>101</v>
      </c>
      <c r="C18" s="7" t="s">
        <v>47</v>
      </c>
      <c r="D18" s="6" t="s">
        <v>113</v>
      </c>
      <c r="E18" s="6" t="s">
        <v>114</v>
      </c>
      <c r="F18" s="6" t="s">
        <v>104</v>
      </c>
      <c r="G18" s="6" t="s">
        <v>88</v>
      </c>
      <c r="H18" s="7" t="n">
        <v>3</v>
      </c>
      <c r="I18" s="6" t="s">
        <v>52</v>
      </c>
      <c r="J18" s="8" t="n">
        <v>0</v>
      </c>
      <c r="K18" s="6" t="s">
        <v>105</v>
      </c>
    </row>
    <row r="19" customFormat="false" ht="15" hidden="false" customHeight="false" outlineLevel="0" collapsed="false">
      <c r="A19" s="6" t="s">
        <v>115</v>
      </c>
      <c r="B19" s="6" t="s">
        <v>116</v>
      </c>
      <c r="C19" s="7" t="s">
        <v>47</v>
      </c>
      <c r="D19" s="6" t="s">
        <v>117</v>
      </c>
      <c r="E19" s="6" t="s">
        <v>118</v>
      </c>
      <c r="F19" s="6" t="s">
        <v>119</v>
      </c>
      <c r="G19" s="6" t="s">
        <v>54</v>
      </c>
      <c r="H19" s="7" t="n">
        <v>2</v>
      </c>
      <c r="I19" s="6" t="s">
        <v>52</v>
      </c>
      <c r="J19" s="8" t="n">
        <v>0</v>
      </c>
      <c r="K19" s="6" t="s">
        <v>53</v>
      </c>
    </row>
    <row r="20" customFormat="false" ht="15" hidden="false" customHeight="false" outlineLevel="0" collapsed="false">
      <c r="A20" s="6" t="s">
        <v>120</v>
      </c>
      <c r="B20" s="6" t="s">
        <v>116</v>
      </c>
      <c r="C20" s="7" t="s">
        <v>47</v>
      </c>
      <c r="D20" s="6" t="s">
        <v>121</v>
      </c>
      <c r="E20" s="6" t="s">
        <v>122</v>
      </c>
      <c r="F20" s="6" t="s">
        <v>119</v>
      </c>
      <c r="G20" s="6" t="s">
        <v>123</v>
      </c>
      <c r="H20" s="7" t="n">
        <v>3</v>
      </c>
      <c r="I20" s="6" t="s">
        <v>52</v>
      </c>
      <c r="J20" s="8" t="n">
        <v>0</v>
      </c>
      <c r="K20" s="6" t="s">
        <v>53</v>
      </c>
    </row>
    <row r="21" customFormat="false" ht="26.85" hidden="false" customHeight="false" outlineLevel="0" collapsed="false">
      <c r="A21" s="6" t="s">
        <v>124</v>
      </c>
      <c r="B21" s="6" t="s">
        <v>116</v>
      </c>
      <c r="C21" s="7" t="s">
        <v>47</v>
      </c>
      <c r="D21" s="6" t="s">
        <v>125</v>
      </c>
      <c r="E21" s="6" t="s">
        <v>126</v>
      </c>
      <c r="F21" s="6" t="s">
        <v>119</v>
      </c>
      <c r="G21" s="6" t="s">
        <v>127</v>
      </c>
      <c r="H21" s="7" t="n">
        <v>4</v>
      </c>
      <c r="I21" s="6" t="s">
        <v>52</v>
      </c>
      <c r="J21" s="8" t="n">
        <v>0</v>
      </c>
      <c r="K21" s="6" t="s">
        <v>53</v>
      </c>
    </row>
    <row r="22" customFormat="false" ht="26.85" hidden="false" customHeight="false" outlineLevel="0" collapsed="false">
      <c r="A22" s="6" t="s">
        <v>128</v>
      </c>
      <c r="B22" s="6" t="s">
        <v>116</v>
      </c>
      <c r="C22" s="7" t="s">
        <v>47</v>
      </c>
      <c r="D22" s="6" t="s">
        <v>129</v>
      </c>
      <c r="E22" s="6" t="s">
        <v>130</v>
      </c>
      <c r="F22" s="6" t="s">
        <v>119</v>
      </c>
      <c r="G22" s="6" t="s">
        <v>120</v>
      </c>
      <c r="H22" s="7" t="n">
        <v>4</v>
      </c>
      <c r="I22" s="6" t="s">
        <v>52</v>
      </c>
      <c r="J22" s="8" t="n">
        <v>0</v>
      </c>
      <c r="K22" s="6" t="s">
        <v>53</v>
      </c>
    </row>
    <row r="23" customFormat="false" ht="15" hidden="false" customHeight="false" outlineLevel="0" collapsed="false">
      <c r="A23" s="9" t="s">
        <v>131</v>
      </c>
      <c r="B23" s="9" t="s">
        <v>116</v>
      </c>
      <c r="C23" s="10" t="s">
        <v>96</v>
      </c>
      <c r="D23" s="9" t="s">
        <v>132</v>
      </c>
      <c r="E23" s="9" t="s">
        <v>133</v>
      </c>
      <c r="F23" s="9" t="s">
        <v>119</v>
      </c>
      <c r="G23" s="9" t="s">
        <v>124</v>
      </c>
      <c r="H23" s="10" t="n">
        <v>7</v>
      </c>
      <c r="I23" s="9" t="s">
        <v>52</v>
      </c>
      <c r="J23" s="11" t="n">
        <v>0</v>
      </c>
      <c r="K23" s="9" t="s">
        <v>99</v>
      </c>
    </row>
    <row r="24" customFormat="false" ht="26.85" hidden="false" customHeight="false" outlineLevel="0" collapsed="false">
      <c r="A24" s="6" t="s">
        <v>134</v>
      </c>
      <c r="B24" s="6" t="s">
        <v>135</v>
      </c>
      <c r="C24" s="7" t="s">
        <v>47</v>
      </c>
      <c r="D24" s="6" t="s">
        <v>136</v>
      </c>
      <c r="E24" s="6" t="s">
        <v>137</v>
      </c>
      <c r="F24" s="6" t="s">
        <v>138</v>
      </c>
      <c r="G24" s="6" t="s">
        <v>139</v>
      </c>
      <c r="H24" s="7" t="n">
        <v>2</v>
      </c>
      <c r="I24" s="6" t="s">
        <v>52</v>
      </c>
      <c r="J24" s="8" t="n">
        <v>0</v>
      </c>
      <c r="K24" s="6" t="s">
        <v>140</v>
      </c>
    </row>
    <row r="25" customFormat="false" ht="26.85" hidden="false" customHeight="false" outlineLevel="0" collapsed="false">
      <c r="A25" s="6" t="s">
        <v>141</v>
      </c>
      <c r="B25" s="6" t="s">
        <v>135</v>
      </c>
      <c r="C25" s="7" t="s">
        <v>47</v>
      </c>
      <c r="D25" s="6" t="s">
        <v>142</v>
      </c>
      <c r="E25" s="6" t="s">
        <v>143</v>
      </c>
      <c r="F25" s="6" t="s">
        <v>138</v>
      </c>
      <c r="G25" s="6" t="s">
        <v>134</v>
      </c>
      <c r="H25" s="7" t="n">
        <v>4</v>
      </c>
      <c r="I25" s="6" t="s">
        <v>52</v>
      </c>
      <c r="J25" s="8" t="n">
        <v>0</v>
      </c>
      <c r="K25" s="6" t="s">
        <v>140</v>
      </c>
    </row>
    <row r="26" customFormat="false" ht="26.85" hidden="false" customHeight="false" outlineLevel="0" collapsed="false">
      <c r="A26" s="6" t="s">
        <v>144</v>
      </c>
      <c r="B26" s="6" t="s">
        <v>135</v>
      </c>
      <c r="C26" s="7" t="s">
        <v>47</v>
      </c>
      <c r="D26" s="6" t="s">
        <v>145</v>
      </c>
      <c r="E26" s="6" t="s">
        <v>146</v>
      </c>
      <c r="F26" s="6" t="s">
        <v>138</v>
      </c>
      <c r="G26" s="6" t="s">
        <v>141</v>
      </c>
      <c r="H26" s="7" t="n">
        <v>3</v>
      </c>
      <c r="I26" s="6" t="s">
        <v>52</v>
      </c>
      <c r="J26" s="8" t="n">
        <v>0</v>
      </c>
      <c r="K26" s="6" t="s">
        <v>140</v>
      </c>
    </row>
    <row r="27" customFormat="false" ht="15" hidden="false" customHeight="false" outlineLevel="0" collapsed="false">
      <c r="A27" s="6" t="s">
        <v>147</v>
      </c>
      <c r="B27" s="6" t="s">
        <v>135</v>
      </c>
      <c r="C27" s="7" t="s">
        <v>47</v>
      </c>
      <c r="D27" s="6" t="s">
        <v>148</v>
      </c>
      <c r="E27" s="6" t="s">
        <v>149</v>
      </c>
      <c r="F27" s="6" t="s">
        <v>138</v>
      </c>
      <c r="G27" s="6" t="s">
        <v>150</v>
      </c>
      <c r="H27" s="7" t="n">
        <v>4</v>
      </c>
      <c r="I27" s="6" t="s">
        <v>52</v>
      </c>
      <c r="J27" s="8" t="n">
        <v>0</v>
      </c>
      <c r="K27" s="6" t="s">
        <v>151</v>
      </c>
    </row>
    <row r="28" customFormat="false" ht="26.85" hidden="false" customHeight="false" outlineLevel="0" collapsed="false">
      <c r="A28" s="6" t="s">
        <v>152</v>
      </c>
      <c r="B28" s="6" t="s">
        <v>135</v>
      </c>
      <c r="C28" s="7" t="s">
        <v>47</v>
      </c>
      <c r="D28" s="6" t="s">
        <v>153</v>
      </c>
      <c r="E28" s="6" t="s">
        <v>154</v>
      </c>
      <c r="F28" s="6" t="s">
        <v>138</v>
      </c>
      <c r="G28" s="6" t="s">
        <v>147</v>
      </c>
      <c r="H28" s="7" t="n">
        <v>5</v>
      </c>
      <c r="I28" s="6" t="s">
        <v>52</v>
      </c>
      <c r="J28" s="8" t="n">
        <v>0</v>
      </c>
      <c r="K28" s="6" t="s">
        <v>151</v>
      </c>
    </row>
    <row r="29" customFormat="false" ht="15" hidden="false" customHeight="false" outlineLevel="0" collapsed="false">
      <c r="A29" s="6" t="s">
        <v>155</v>
      </c>
      <c r="B29" s="6" t="s">
        <v>135</v>
      </c>
      <c r="C29" s="7" t="s">
        <v>47</v>
      </c>
      <c r="D29" s="6" t="s">
        <v>156</v>
      </c>
      <c r="E29" s="6" t="s">
        <v>157</v>
      </c>
      <c r="F29" s="6" t="s">
        <v>138</v>
      </c>
      <c r="G29" s="6" t="s">
        <v>152</v>
      </c>
      <c r="H29" s="7" t="n">
        <v>2</v>
      </c>
      <c r="I29" s="6" t="s">
        <v>52</v>
      </c>
      <c r="J29" s="8" t="n">
        <v>0</v>
      </c>
      <c r="K29" s="6" t="s">
        <v>151</v>
      </c>
    </row>
    <row r="30" customFormat="false" ht="26.85" hidden="false" customHeight="false" outlineLevel="0" collapsed="false">
      <c r="A30" s="9" t="s">
        <v>158</v>
      </c>
      <c r="B30" s="9" t="s">
        <v>135</v>
      </c>
      <c r="C30" s="10" t="s">
        <v>96</v>
      </c>
      <c r="D30" s="9" t="s">
        <v>159</v>
      </c>
      <c r="E30" s="9" t="s">
        <v>160</v>
      </c>
      <c r="F30" s="9" t="s">
        <v>138</v>
      </c>
      <c r="G30" s="9" t="s">
        <v>152</v>
      </c>
      <c r="H30" s="10" t="n">
        <v>6</v>
      </c>
      <c r="I30" s="9" t="s">
        <v>52</v>
      </c>
      <c r="J30" s="11" t="n">
        <v>0</v>
      </c>
      <c r="K30" s="9" t="s">
        <v>99</v>
      </c>
    </row>
    <row r="31" customFormat="false" ht="15" hidden="false" customHeight="false" outlineLevel="0" collapsed="false">
      <c r="A31" s="9" t="s">
        <v>161</v>
      </c>
      <c r="B31" s="9" t="s">
        <v>135</v>
      </c>
      <c r="C31" s="10" t="s">
        <v>96</v>
      </c>
      <c r="D31" s="9" t="s">
        <v>162</v>
      </c>
      <c r="E31" s="9" t="s">
        <v>163</v>
      </c>
      <c r="F31" s="9" t="s">
        <v>138</v>
      </c>
      <c r="G31" s="9" t="s">
        <v>164</v>
      </c>
      <c r="H31" s="10" t="n">
        <v>5</v>
      </c>
      <c r="I31" s="9" t="s">
        <v>52</v>
      </c>
      <c r="J31" s="11" t="n">
        <v>0</v>
      </c>
      <c r="K31" s="9" t="s">
        <v>99</v>
      </c>
    </row>
    <row r="32" customFormat="false" ht="15" hidden="false" customHeight="false" outlineLevel="0" collapsed="false">
      <c r="A32" s="9" t="s">
        <v>165</v>
      </c>
      <c r="B32" s="9" t="s">
        <v>135</v>
      </c>
      <c r="C32" s="10" t="s">
        <v>96</v>
      </c>
      <c r="D32" s="9" t="s">
        <v>166</v>
      </c>
      <c r="E32" s="9" t="s">
        <v>167</v>
      </c>
      <c r="F32" s="9" t="s">
        <v>138</v>
      </c>
      <c r="G32" s="9" t="s">
        <v>152</v>
      </c>
      <c r="H32" s="10" t="n">
        <v>4</v>
      </c>
      <c r="I32" s="9" t="s">
        <v>52</v>
      </c>
      <c r="J32" s="11" t="n">
        <v>0</v>
      </c>
      <c r="K32" s="9" t="s">
        <v>99</v>
      </c>
    </row>
    <row r="33" customFormat="false" ht="26.85" hidden="false" customHeight="false" outlineLevel="0" collapsed="false">
      <c r="A33" s="6" t="s">
        <v>168</v>
      </c>
      <c r="B33" s="6" t="s">
        <v>169</v>
      </c>
      <c r="C33" s="7" t="s">
        <v>47</v>
      </c>
      <c r="D33" s="6" t="s">
        <v>170</v>
      </c>
      <c r="E33" s="6" t="s">
        <v>171</v>
      </c>
      <c r="F33" s="6" t="s">
        <v>172</v>
      </c>
      <c r="G33" s="6" t="s">
        <v>45</v>
      </c>
      <c r="H33" s="7" t="n">
        <v>3</v>
      </c>
      <c r="I33" s="6" t="s">
        <v>52</v>
      </c>
      <c r="J33" s="8" t="n">
        <v>0</v>
      </c>
      <c r="K33" s="6" t="s">
        <v>140</v>
      </c>
    </row>
    <row r="34" customFormat="false" ht="26.85" hidden="false" customHeight="false" outlineLevel="0" collapsed="false">
      <c r="A34" s="6" t="s">
        <v>173</v>
      </c>
      <c r="B34" s="6" t="s">
        <v>169</v>
      </c>
      <c r="C34" s="7" t="s">
        <v>47</v>
      </c>
      <c r="D34" s="6" t="s">
        <v>174</v>
      </c>
      <c r="E34" s="6" t="s">
        <v>175</v>
      </c>
      <c r="F34" s="6" t="s">
        <v>172</v>
      </c>
      <c r="G34" s="6" t="s">
        <v>64</v>
      </c>
      <c r="H34" s="7" t="n">
        <v>3</v>
      </c>
      <c r="I34" s="6" t="s">
        <v>52</v>
      </c>
      <c r="J34" s="8" t="n">
        <v>0</v>
      </c>
      <c r="K34" s="6" t="s">
        <v>140</v>
      </c>
    </row>
    <row r="35" customFormat="false" ht="15" hidden="false" customHeight="false" outlineLevel="0" collapsed="false">
      <c r="A35" s="6" t="s">
        <v>176</v>
      </c>
      <c r="B35" s="6" t="s">
        <v>169</v>
      </c>
      <c r="C35" s="7" t="s">
        <v>47</v>
      </c>
      <c r="D35" s="6" t="s">
        <v>177</v>
      </c>
      <c r="E35" s="6" t="s">
        <v>178</v>
      </c>
      <c r="F35" s="6" t="s">
        <v>172</v>
      </c>
      <c r="G35" s="6" t="s">
        <v>179</v>
      </c>
      <c r="H35" s="7" t="n">
        <v>3</v>
      </c>
      <c r="I35" s="6" t="s">
        <v>52</v>
      </c>
      <c r="J35" s="8" t="n">
        <v>0</v>
      </c>
      <c r="K35" s="6" t="s">
        <v>151</v>
      </c>
    </row>
    <row r="36" customFormat="false" ht="15" hidden="false" customHeight="false" outlineLevel="0" collapsed="false">
      <c r="A36" s="6" t="s">
        <v>180</v>
      </c>
      <c r="B36" s="6" t="s">
        <v>169</v>
      </c>
      <c r="C36" s="7" t="s">
        <v>47</v>
      </c>
      <c r="D36" s="6" t="s">
        <v>181</v>
      </c>
      <c r="E36" s="6" t="s">
        <v>182</v>
      </c>
      <c r="F36" s="6" t="s">
        <v>172</v>
      </c>
      <c r="G36" s="6" t="s">
        <v>183</v>
      </c>
      <c r="H36" s="7" t="n">
        <v>2</v>
      </c>
      <c r="I36" s="6" t="s">
        <v>52</v>
      </c>
      <c r="J36" s="8" t="n">
        <v>0</v>
      </c>
      <c r="K36" s="6" t="s">
        <v>151</v>
      </c>
    </row>
    <row r="37" customFormat="false" ht="15" hidden="false" customHeight="false" outlineLevel="0" collapsed="false">
      <c r="A37" s="6" t="s">
        <v>184</v>
      </c>
      <c r="B37" s="6" t="s">
        <v>169</v>
      </c>
      <c r="C37" s="7" t="s">
        <v>47</v>
      </c>
      <c r="D37" s="6" t="s">
        <v>185</v>
      </c>
      <c r="E37" s="6" t="s">
        <v>186</v>
      </c>
      <c r="F37" s="6" t="s">
        <v>172</v>
      </c>
      <c r="G37" s="6" t="s">
        <v>176</v>
      </c>
      <c r="H37" s="7" t="n">
        <v>2</v>
      </c>
      <c r="I37" s="6" t="s">
        <v>52</v>
      </c>
      <c r="J37" s="8" t="n">
        <v>0</v>
      </c>
      <c r="K37" s="6" t="s">
        <v>151</v>
      </c>
    </row>
    <row r="38" customFormat="false" ht="15" hidden="false" customHeight="false" outlineLevel="0" collapsed="false">
      <c r="A38" s="9" t="s">
        <v>187</v>
      </c>
      <c r="B38" s="9" t="s">
        <v>169</v>
      </c>
      <c r="C38" s="10" t="s">
        <v>96</v>
      </c>
      <c r="D38" s="9" t="s">
        <v>188</v>
      </c>
      <c r="E38" s="9" t="s">
        <v>189</v>
      </c>
      <c r="F38" s="9" t="s">
        <v>172</v>
      </c>
      <c r="G38" s="9" t="s">
        <v>165</v>
      </c>
      <c r="H38" s="10" t="n">
        <v>4</v>
      </c>
      <c r="I38" s="9" t="s">
        <v>52</v>
      </c>
      <c r="J38" s="11" t="n">
        <v>0</v>
      </c>
      <c r="K38" s="9" t="s">
        <v>99</v>
      </c>
    </row>
    <row r="39" customFormat="false" ht="15" hidden="false" customHeight="false" outlineLevel="0" collapsed="false">
      <c r="A39" s="6" t="s">
        <v>190</v>
      </c>
      <c r="B39" s="6" t="s">
        <v>191</v>
      </c>
      <c r="C39" s="7" t="s">
        <v>47</v>
      </c>
      <c r="D39" s="6" t="s">
        <v>192</v>
      </c>
      <c r="E39" s="6" t="s">
        <v>193</v>
      </c>
      <c r="F39" s="6" t="s">
        <v>194</v>
      </c>
      <c r="G39" s="6" t="s">
        <v>57</v>
      </c>
      <c r="H39" s="7" t="n">
        <v>2</v>
      </c>
      <c r="I39" s="6" t="s">
        <v>195</v>
      </c>
      <c r="J39" s="8" t="n">
        <v>0.6</v>
      </c>
      <c r="K39" s="6" t="s">
        <v>63</v>
      </c>
    </row>
    <row r="40" customFormat="false" ht="15" hidden="false" customHeight="false" outlineLevel="0" collapsed="false">
      <c r="A40" s="6" t="s">
        <v>196</v>
      </c>
      <c r="B40" s="6" t="s">
        <v>191</v>
      </c>
      <c r="C40" s="7" t="s">
        <v>47</v>
      </c>
      <c r="D40" s="6" t="s">
        <v>197</v>
      </c>
      <c r="E40" s="6" t="s">
        <v>198</v>
      </c>
      <c r="F40" s="6" t="s">
        <v>199</v>
      </c>
      <c r="G40" s="6" t="s">
        <v>190</v>
      </c>
      <c r="H40" s="7" t="n">
        <v>4</v>
      </c>
      <c r="I40" s="6" t="s">
        <v>200</v>
      </c>
      <c r="J40" s="8" t="n">
        <v>0.3</v>
      </c>
      <c r="K40" s="6" t="s">
        <v>53</v>
      </c>
    </row>
    <row r="41" customFormat="false" ht="15" hidden="false" customHeight="false" outlineLevel="0" collapsed="false">
      <c r="A41" s="6" t="s">
        <v>201</v>
      </c>
      <c r="B41" s="6" t="s">
        <v>191</v>
      </c>
      <c r="C41" s="7" t="s">
        <v>47</v>
      </c>
      <c r="D41" s="6" t="s">
        <v>202</v>
      </c>
      <c r="E41" s="6" t="s">
        <v>203</v>
      </c>
      <c r="F41" s="6" t="s">
        <v>199</v>
      </c>
      <c r="G41" s="6" t="s">
        <v>184</v>
      </c>
      <c r="H41" s="7" t="n">
        <v>4</v>
      </c>
      <c r="I41" s="6" t="s">
        <v>52</v>
      </c>
      <c r="J41" s="8" t="n">
        <v>0</v>
      </c>
      <c r="K41" s="6" t="s">
        <v>151</v>
      </c>
    </row>
    <row r="42" customFormat="false" ht="26.85" hidden="false" customHeight="false" outlineLevel="0" collapsed="false">
      <c r="A42" s="6" t="s">
        <v>204</v>
      </c>
      <c r="B42" s="6" t="s">
        <v>191</v>
      </c>
      <c r="C42" s="7" t="s">
        <v>47</v>
      </c>
      <c r="D42" s="6" t="s">
        <v>205</v>
      </c>
      <c r="E42" s="6" t="s">
        <v>206</v>
      </c>
      <c r="F42" s="6" t="s">
        <v>172</v>
      </c>
      <c r="G42" s="6" t="s">
        <v>184</v>
      </c>
      <c r="H42" s="7" t="n">
        <v>1</v>
      </c>
      <c r="I42" s="6" t="s">
        <v>52</v>
      </c>
      <c r="J42" s="8" t="n">
        <v>0</v>
      </c>
      <c r="K42" s="6" t="s">
        <v>151</v>
      </c>
    </row>
    <row r="45" customFormat="false" ht="15" hidden="false" customHeight="false" outlineLevel="0" collapsed="false">
      <c r="A45" s="12" t="s">
        <v>207</v>
      </c>
    </row>
    <row r="46" customFormat="false" ht="15" hidden="false" customHeight="false" outlineLevel="0" collapsed="false">
      <c r="A46" s="13" t="s">
        <v>208</v>
      </c>
      <c r="B46" s="14" t="n">
        <f aca="false">COUNTA(A2:A42)</f>
        <v>41</v>
      </c>
    </row>
    <row r="47" customFormat="false" ht="15" hidden="false" customHeight="false" outlineLevel="0" collapsed="false">
      <c r="A47" s="13" t="s">
        <v>209</v>
      </c>
      <c r="B47" s="14" t="n">
        <f aca="false">COUNTIF(C2:C42,"P1")</f>
        <v>35</v>
      </c>
    </row>
    <row r="48" customFormat="false" ht="15" hidden="false" customHeight="false" outlineLevel="0" collapsed="false">
      <c r="A48" s="13" t="s">
        <v>210</v>
      </c>
      <c r="B48" s="14" t="n">
        <f aca="false">COUNTIF(C2:C42,"P2")</f>
        <v>6</v>
      </c>
    </row>
    <row r="49" customFormat="false" ht="15" hidden="false" customHeight="false" outlineLevel="0" collapsed="false">
      <c r="A49" s="13" t="s">
        <v>211</v>
      </c>
      <c r="B49" s="14" t="n">
        <f aca="false">SUMIF(C2:C42,"P1",H2:H42)</f>
        <v>97</v>
      </c>
    </row>
    <row r="50" customFormat="false" ht="15" hidden="false" customHeight="false" outlineLevel="0" collapsed="false">
      <c r="A50" s="13" t="s">
        <v>212</v>
      </c>
      <c r="B50" s="14" t="n">
        <f aca="false">COUNTIF(I2:I42,"Done")</f>
        <v>0</v>
      </c>
    </row>
  </sheetData>
  <autoFilter ref="A1:K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5" t="s">
        <v>39</v>
      </c>
      <c r="B1" s="15" t="s">
        <v>213</v>
      </c>
      <c r="C1" s="15" t="s">
        <v>214</v>
      </c>
      <c r="D1" s="15" t="s">
        <v>215</v>
      </c>
      <c r="E1" s="15" t="s">
        <v>216</v>
      </c>
    </row>
    <row r="2" customFormat="false" ht="26.85" hidden="false" customHeight="false" outlineLevel="0" collapsed="false">
      <c r="A2" s="16" t="s">
        <v>22</v>
      </c>
      <c r="B2" s="16" t="s">
        <v>59</v>
      </c>
      <c r="C2" s="16" t="s">
        <v>217</v>
      </c>
      <c r="D2" s="17" t="n">
        <f aca="false">12</f>
        <v>12</v>
      </c>
      <c r="E2" s="16" t="s">
        <v>218</v>
      </c>
    </row>
    <row r="3" customFormat="false" ht="15" hidden="false" customHeight="false" outlineLevel="0" collapsed="false">
      <c r="A3" s="18" t="s">
        <v>24</v>
      </c>
      <c r="B3" s="18" t="s">
        <v>81</v>
      </c>
      <c r="C3" s="18" t="s">
        <v>219</v>
      </c>
      <c r="D3" s="19" t="n">
        <f aca="false">14</f>
        <v>14</v>
      </c>
      <c r="E3" s="18" t="s">
        <v>220</v>
      </c>
    </row>
    <row r="4" customFormat="false" ht="15" hidden="false" customHeight="false" outlineLevel="0" collapsed="false">
      <c r="A4" s="16" t="s">
        <v>26</v>
      </c>
      <c r="B4" s="16" t="s">
        <v>101</v>
      </c>
      <c r="C4" s="16" t="s">
        <v>221</v>
      </c>
      <c r="D4" s="17" t="n">
        <f aca="false">11</f>
        <v>11</v>
      </c>
      <c r="E4" s="16" t="s">
        <v>222</v>
      </c>
    </row>
    <row r="5" customFormat="false" ht="15" hidden="false" customHeight="false" outlineLevel="0" collapsed="false">
      <c r="A5" s="18" t="s">
        <v>28</v>
      </c>
      <c r="B5" s="18" t="s">
        <v>116</v>
      </c>
      <c r="C5" s="18" t="s">
        <v>223</v>
      </c>
      <c r="D5" s="19" t="n">
        <f aca="false">15</f>
        <v>15</v>
      </c>
      <c r="E5" s="18" t="s">
        <v>224</v>
      </c>
    </row>
    <row r="6" customFormat="false" ht="26.85" hidden="false" customHeight="false" outlineLevel="0" collapsed="false">
      <c r="A6" s="16" t="s">
        <v>30</v>
      </c>
      <c r="B6" s="16" t="s">
        <v>135</v>
      </c>
      <c r="C6" s="16" t="s">
        <v>225</v>
      </c>
      <c r="D6" s="17" t="n">
        <f aca="false">22</f>
        <v>22</v>
      </c>
      <c r="E6" s="16" t="s">
        <v>226</v>
      </c>
    </row>
    <row r="7" customFormat="false" ht="26.85" hidden="false" customHeight="false" outlineLevel="0" collapsed="false">
      <c r="A7" s="18" t="s">
        <v>32</v>
      </c>
      <c r="B7" s="18" t="s">
        <v>227</v>
      </c>
      <c r="C7" s="18" t="s">
        <v>228</v>
      </c>
      <c r="D7" s="19" t="n">
        <f aca="false">14</f>
        <v>14</v>
      </c>
      <c r="E7" s="18" t="s">
        <v>229</v>
      </c>
    </row>
    <row r="9" customFormat="false" ht="15" hidden="false" customHeight="false" outlineLevel="0" collapsed="false">
      <c r="A9" s="20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54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5" t="s">
        <v>44</v>
      </c>
      <c r="B1" s="15" t="s">
        <v>231</v>
      </c>
      <c r="C1" s="15" t="s">
        <v>232</v>
      </c>
      <c r="D1" s="15" t="s">
        <v>233</v>
      </c>
    </row>
    <row r="2" customFormat="false" ht="26.85" hidden="false" customHeight="false" outlineLevel="0" collapsed="false">
      <c r="A2" s="16" t="s">
        <v>63</v>
      </c>
      <c r="B2" s="16" t="s">
        <v>234</v>
      </c>
      <c r="C2" s="16" t="s">
        <v>235</v>
      </c>
      <c r="D2" s="16" t="s">
        <v>236</v>
      </c>
    </row>
    <row r="3" customFormat="false" ht="26.85" hidden="false" customHeight="false" outlineLevel="0" collapsed="false">
      <c r="A3" s="18" t="s">
        <v>105</v>
      </c>
      <c r="B3" s="18" t="s">
        <v>237</v>
      </c>
      <c r="C3" s="18" t="s">
        <v>238</v>
      </c>
      <c r="D3" s="18" t="s">
        <v>239</v>
      </c>
    </row>
    <row r="4" customFormat="false" ht="26.85" hidden="false" customHeight="false" outlineLevel="0" collapsed="false">
      <c r="A4" s="16" t="s">
        <v>53</v>
      </c>
      <c r="B4" s="16" t="s">
        <v>240</v>
      </c>
      <c r="C4" s="16" t="s">
        <v>241</v>
      </c>
      <c r="D4" s="16" t="s">
        <v>242</v>
      </c>
    </row>
    <row r="5" customFormat="false" ht="26.85" hidden="false" customHeight="false" outlineLevel="0" collapsed="false">
      <c r="A5" s="18" t="s">
        <v>140</v>
      </c>
      <c r="B5" s="18" t="s">
        <v>243</v>
      </c>
      <c r="C5" s="18" t="s">
        <v>244</v>
      </c>
      <c r="D5" s="18" t="s">
        <v>245</v>
      </c>
    </row>
    <row r="6" customFormat="false" ht="15" hidden="false" customHeight="false" outlineLevel="0" collapsed="false">
      <c r="A6" s="21" t="s">
        <v>151</v>
      </c>
      <c r="B6" s="22" t="s">
        <v>246</v>
      </c>
      <c r="C6" s="22" t="s">
        <v>247</v>
      </c>
      <c r="D6" s="22" t="s">
        <v>248</v>
      </c>
    </row>
    <row r="7" customFormat="false" ht="26.85" hidden="false" customHeight="false" outlineLevel="0" collapsed="false">
      <c r="A7" s="18" t="s">
        <v>99</v>
      </c>
      <c r="B7" s="18" t="s">
        <v>249</v>
      </c>
      <c r="C7" s="18" t="s">
        <v>250</v>
      </c>
      <c r="D7" s="18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2026-06-15T13:09:38Z</dcterms:created>
  <dc:creator>openpyxl</dc:creator>
  <dc:description/>
  <dc:language>en-US</dc:language>
  <cp:lastModifiedBy/>
  <dcterms:modified xsi:type="dcterms:W3CDTF">2026-06-15T13:09:38Z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